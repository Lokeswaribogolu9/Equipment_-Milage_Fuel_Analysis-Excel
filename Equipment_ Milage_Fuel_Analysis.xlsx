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supercementco-my.sharepoint.com/personal/store01_sathigroup_com/Documents/Desktop/"/>
    </mc:Choice>
  </mc:AlternateContent>
  <xr:revisionPtr revIDLastSave="360" documentId="8_{349F8CBA-9CD7-4FA5-A8D4-76B30A68E109}" xr6:coauthVersionLast="47" xr6:coauthVersionMax="47" xr10:uidLastSave="{CC2BE4DA-FAC4-45C1-B160-9C8EA22C5732}"/>
  <bookViews>
    <workbookView xWindow="-120" yWindow="-120" windowWidth="29040" windowHeight="15720" firstSheet="3" activeTab="8" xr2:uid="{CE50FF32-E24A-43D1-AE86-F6514FD5CEA6}"/>
  </bookViews>
  <sheets>
    <sheet name="Data" sheetId="1" r:id="rId1"/>
    <sheet name="Quick_Analysis" sheetId="5" r:id="rId2"/>
    <sheet name="Monthly_Summary" sheetId="3" r:id="rId3"/>
    <sheet name="Equipment_Summary" sheetId="4" r:id="rId4"/>
    <sheet name="Pivot_Distance_Equip" sheetId="6" r:id="rId5"/>
    <sheet name="Pivot_Fuel_Month." sheetId="7" r:id="rId6"/>
    <sheet name="Pivot_Efficiency_Equip" sheetId="9" r:id="rId7"/>
    <sheet name="Pivot_Distance_Dept" sheetId="8" r:id="rId8"/>
    <sheet name="DashBoard" sheetId="10" r:id="rId9"/>
    <sheet name="Lists" sheetId="2" r:id="rId10"/>
  </sheets>
  <definedNames>
    <definedName name="Slicer_Equipment_Name">#N/A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 l="1" a="1"/>
  <c r="D33" i="1" s="1"/>
  <c r="E33" i="1"/>
  <c r="F33" i="1" s="1"/>
  <c r="G33" i="1" s="1"/>
  <c r="O33" i="1" s="1"/>
  <c r="H33" i="1"/>
  <c r="I33" i="1"/>
  <c r="K33" i="1" a="1"/>
  <c r="K33" i="1" s="1"/>
  <c r="L33" i="1"/>
  <c r="M33" i="1"/>
  <c r="D34" i="1" a="1"/>
  <c r="D34" i="1" s="1"/>
  <c r="E34" i="1"/>
  <c r="F34" i="1" s="1"/>
  <c r="G34" i="1" s="1"/>
  <c r="O34" i="1" s="1"/>
  <c r="H34" i="1"/>
  <c r="I34" i="1"/>
  <c r="K34" i="1" a="1"/>
  <c r="K34" i="1" s="1"/>
  <c r="L34" i="1"/>
  <c r="M34" i="1"/>
  <c r="D35" i="1" a="1"/>
  <c r="D35" i="1" s="1"/>
  <c r="E35" i="1"/>
  <c r="F35" i="1" s="1"/>
  <c r="G35" i="1" s="1"/>
  <c r="O35" i="1" s="1"/>
  <c r="H35" i="1"/>
  <c r="I35" i="1"/>
  <c r="K35" i="1" a="1"/>
  <c r="K35" i="1" s="1"/>
  <c r="L35" i="1"/>
  <c r="M35" i="1"/>
  <c r="D36" i="1" a="1"/>
  <c r="D36" i="1" s="1"/>
  <c r="E36" i="1"/>
  <c r="F36" i="1" s="1"/>
  <c r="G36" i="1" s="1"/>
  <c r="O36" i="1" s="1"/>
  <c r="H36" i="1"/>
  <c r="I36" i="1"/>
  <c r="K36" i="1" a="1"/>
  <c r="K36" i="1" s="1"/>
  <c r="L36" i="1"/>
  <c r="M36" i="1"/>
  <c r="D37" i="1" a="1"/>
  <c r="D37" i="1" s="1"/>
  <c r="E37" i="1"/>
  <c r="F37" i="1" s="1"/>
  <c r="G37" i="1" s="1"/>
  <c r="O37" i="1" s="1"/>
  <c r="H37" i="1"/>
  <c r="I37" i="1"/>
  <c r="K37" i="1" a="1"/>
  <c r="K37" i="1" s="1"/>
  <c r="L37" i="1"/>
  <c r="M37" i="1"/>
  <c r="D38" i="1" a="1"/>
  <c r="D38" i="1" s="1"/>
  <c r="E38" i="1"/>
  <c r="F38" i="1" s="1"/>
  <c r="G38" i="1" s="1"/>
  <c r="O38" i="1" s="1"/>
  <c r="H38" i="1"/>
  <c r="I38" i="1"/>
  <c r="K38" i="1" a="1"/>
  <c r="K38" i="1" s="1"/>
  <c r="L38" i="1"/>
  <c r="M38" i="1"/>
  <c r="D39" i="1" a="1"/>
  <c r="D39" i="1" s="1"/>
  <c r="E39" i="1"/>
  <c r="F39" i="1" s="1"/>
  <c r="G39" i="1" s="1"/>
  <c r="O39" i="1" s="1"/>
  <c r="H39" i="1"/>
  <c r="I39" i="1"/>
  <c r="K39" i="1" a="1"/>
  <c r="K39" i="1" s="1"/>
  <c r="L39" i="1"/>
  <c r="M39" i="1"/>
  <c r="D40" i="1" a="1"/>
  <c r="D40" i="1" s="1"/>
  <c r="E40" i="1"/>
  <c r="F40" i="1" s="1"/>
  <c r="G40" i="1" s="1"/>
  <c r="O40" i="1" s="1"/>
  <c r="H40" i="1"/>
  <c r="I40" i="1"/>
  <c r="K40" i="1" a="1"/>
  <c r="K40" i="1" s="1"/>
  <c r="L40" i="1"/>
  <c r="M40" i="1"/>
  <c r="D41" i="1" a="1"/>
  <c r="D41" i="1" s="1"/>
  <c r="E41" i="1"/>
  <c r="F41" i="1" s="1"/>
  <c r="G41" i="1" s="1"/>
  <c r="O41" i="1" s="1"/>
  <c r="H41" i="1"/>
  <c r="I41" i="1"/>
  <c r="K41" i="1" a="1"/>
  <c r="K41" i="1" s="1"/>
  <c r="L41" i="1"/>
  <c r="M41" i="1"/>
  <c r="D42" i="1" a="1"/>
  <c r="D42" i="1" s="1"/>
  <c r="E42" i="1"/>
  <c r="F42" i="1" s="1"/>
  <c r="G42" i="1" s="1"/>
  <c r="O42" i="1" s="1"/>
  <c r="H42" i="1"/>
  <c r="I42" i="1"/>
  <c r="K42" i="1" a="1"/>
  <c r="K42" i="1" s="1"/>
  <c r="L42" i="1"/>
  <c r="M42" i="1"/>
  <c r="D43" i="1" a="1"/>
  <c r="D43" i="1" s="1"/>
  <c r="E43" i="1"/>
  <c r="F43" i="1" s="1"/>
  <c r="G43" i="1" s="1"/>
  <c r="O43" i="1" s="1"/>
  <c r="H43" i="1"/>
  <c r="I43" i="1"/>
  <c r="K43" i="1" a="1"/>
  <c r="K43" i="1" s="1"/>
  <c r="L43" i="1"/>
  <c r="M43" i="1"/>
  <c r="D44" i="1" a="1"/>
  <c r="D44" i="1" s="1"/>
  <c r="E44" i="1"/>
  <c r="F44" i="1" s="1"/>
  <c r="G44" i="1" s="1"/>
  <c r="O44" i="1" s="1"/>
  <c r="H44" i="1"/>
  <c r="I44" i="1"/>
  <c r="K44" i="1" a="1"/>
  <c r="K44" i="1" s="1"/>
  <c r="L44" i="1"/>
  <c r="M44" i="1"/>
  <c r="D45" i="1" a="1"/>
  <c r="D45" i="1" s="1"/>
  <c r="E45" i="1"/>
  <c r="F45" i="1" s="1"/>
  <c r="G45" i="1" s="1"/>
  <c r="O45" i="1" s="1"/>
  <c r="H45" i="1"/>
  <c r="I45" i="1"/>
  <c r="K45" i="1" a="1"/>
  <c r="K45" i="1" s="1"/>
  <c r="L45" i="1"/>
  <c r="M45" i="1"/>
  <c r="D46" i="1" a="1"/>
  <c r="D46" i="1" s="1"/>
  <c r="E46" i="1"/>
  <c r="F46" i="1" s="1"/>
  <c r="G46" i="1" s="1"/>
  <c r="O46" i="1" s="1"/>
  <c r="H46" i="1"/>
  <c r="I46" i="1"/>
  <c r="K46" i="1" a="1"/>
  <c r="K46" i="1" s="1"/>
  <c r="L46" i="1"/>
  <c r="M46" i="1"/>
  <c r="D47" i="1" a="1"/>
  <c r="D47" i="1" s="1"/>
  <c r="E47" i="1"/>
  <c r="F47" i="1" s="1"/>
  <c r="G47" i="1" s="1"/>
  <c r="O47" i="1" s="1"/>
  <c r="H47" i="1"/>
  <c r="I47" i="1"/>
  <c r="K47" i="1" a="1"/>
  <c r="K47" i="1" s="1"/>
  <c r="L47" i="1"/>
  <c r="M47" i="1"/>
  <c r="D48" i="1" a="1"/>
  <c r="D48" i="1" s="1"/>
  <c r="E48" i="1"/>
  <c r="F48" i="1" s="1"/>
  <c r="G48" i="1" s="1"/>
  <c r="O48" i="1" s="1"/>
  <c r="H48" i="1"/>
  <c r="I48" i="1"/>
  <c r="K48" i="1" a="1"/>
  <c r="K48" i="1" s="1"/>
  <c r="L48" i="1"/>
  <c r="M48" i="1"/>
  <c r="D49" i="1" a="1"/>
  <c r="D49" i="1" s="1"/>
  <c r="E49" i="1"/>
  <c r="F49" i="1" s="1"/>
  <c r="G49" i="1" s="1"/>
  <c r="O49" i="1" s="1"/>
  <c r="H49" i="1"/>
  <c r="I49" i="1"/>
  <c r="K49" i="1" a="1"/>
  <c r="K49" i="1" s="1"/>
  <c r="L49" i="1"/>
  <c r="M49" i="1"/>
  <c r="D50" i="1" a="1"/>
  <c r="D50" i="1" s="1"/>
  <c r="E50" i="1"/>
  <c r="F50" i="1" s="1"/>
  <c r="G50" i="1" s="1"/>
  <c r="O50" i="1" s="1"/>
  <c r="H50" i="1"/>
  <c r="I50" i="1"/>
  <c r="K50" i="1" a="1"/>
  <c r="K50" i="1" s="1"/>
  <c r="L50" i="1"/>
  <c r="M50" i="1"/>
  <c r="D51" i="1" a="1"/>
  <c r="D51" i="1" s="1"/>
  <c r="E51" i="1"/>
  <c r="F51" i="1" s="1"/>
  <c r="G51" i="1" s="1"/>
  <c r="O51" i="1" s="1"/>
  <c r="H51" i="1"/>
  <c r="I51" i="1"/>
  <c r="K51" i="1" a="1"/>
  <c r="K51" i="1" s="1"/>
  <c r="L51" i="1"/>
  <c r="M51" i="1"/>
  <c r="D52" i="1" a="1"/>
  <c r="D52" i="1" s="1"/>
  <c r="E52" i="1"/>
  <c r="F52" i="1" s="1"/>
  <c r="G52" i="1" s="1"/>
  <c r="O52" i="1" s="1"/>
  <c r="H52" i="1"/>
  <c r="I52" i="1"/>
  <c r="K52" i="1" a="1"/>
  <c r="K52" i="1" s="1"/>
  <c r="L52" i="1"/>
  <c r="M52" i="1"/>
  <c r="D53" i="1" a="1"/>
  <c r="D53" i="1" s="1"/>
  <c r="E53" i="1"/>
  <c r="F53" i="1" s="1"/>
  <c r="G53" i="1" s="1"/>
  <c r="O53" i="1" s="1"/>
  <c r="H53" i="1"/>
  <c r="I53" i="1"/>
  <c r="K53" i="1" a="1"/>
  <c r="K53" i="1" s="1"/>
  <c r="L53" i="1"/>
  <c r="M53" i="1"/>
  <c r="D54" i="1" a="1"/>
  <c r="D54" i="1" s="1"/>
  <c r="E54" i="1"/>
  <c r="F54" i="1" s="1"/>
  <c r="G54" i="1" s="1"/>
  <c r="O54" i="1" s="1"/>
  <c r="H54" i="1"/>
  <c r="I54" i="1"/>
  <c r="K54" i="1" a="1"/>
  <c r="K54" i="1" s="1"/>
  <c r="L54" i="1"/>
  <c r="M54" i="1"/>
  <c r="D55" i="1" a="1"/>
  <c r="D55" i="1" s="1"/>
  <c r="E55" i="1"/>
  <c r="F55" i="1" s="1"/>
  <c r="G55" i="1" s="1"/>
  <c r="O55" i="1" s="1"/>
  <c r="H55" i="1"/>
  <c r="I55" i="1"/>
  <c r="K55" i="1" a="1"/>
  <c r="K55" i="1" s="1"/>
  <c r="L55" i="1"/>
  <c r="M55" i="1"/>
  <c r="D56" i="1" a="1"/>
  <c r="D56" i="1" s="1"/>
  <c r="E56" i="1"/>
  <c r="F56" i="1" s="1"/>
  <c r="G56" i="1" s="1"/>
  <c r="O56" i="1" s="1"/>
  <c r="H56" i="1"/>
  <c r="I56" i="1"/>
  <c r="K56" i="1" a="1"/>
  <c r="K56" i="1" s="1"/>
  <c r="L56" i="1"/>
  <c r="M56" i="1"/>
  <c r="D57" i="1" a="1"/>
  <c r="D57" i="1" s="1"/>
  <c r="E57" i="1"/>
  <c r="F57" i="1" s="1"/>
  <c r="G57" i="1" s="1"/>
  <c r="O57" i="1" s="1"/>
  <c r="H57" i="1"/>
  <c r="I57" i="1"/>
  <c r="K57" i="1" a="1"/>
  <c r="K57" i="1" s="1"/>
  <c r="L57" i="1"/>
  <c r="M57" i="1"/>
  <c r="D58" i="1" a="1"/>
  <c r="D58" i="1" s="1"/>
  <c r="E58" i="1"/>
  <c r="F58" i="1" s="1"/>
  <c r="G58" i="1" s="1"/>
  <c r="O58" i="1" s="1"/>
  <c r="H58" i="1"/>
  <c r="I58" i="1"/>
  <c r="K58" i="1" a="1"/>
  <c r="K58" i="1" s="1"/>
  <c r="L58" i="1"/>
  <c r="M58" i="1"/>
  <c r="D59" i="1" a="1"/>
  <c r="D59" i="1" s="1"/>
  <c r="E59" i="1"/>
  <c r="F59" i="1" s="1"/>
  <c r="G59" i="1" s="1"/>
  <c r="O59" i="1" s="1"/>
  <c r="H59" i="1"/>
  <c r="I59" i="1"/>
  <c r="K59" i="1" a="1"/>
  <c r="K59" i="1" s="1"/>
  <c r="L59" i="1"/>
  <c r="M59" i="1"/>
  <c r="D60" i="1" a="1"/>
  <c r="D60" i="1" s="1"/>
  <c r="E60" i="1"/>
  <c r="F60" i="1" s="1"/>
  <c r="G60" i="1" s="1"/>
  <c r="O60" i="1" s="1"/>
  <c r="H60" i="1"/>
  <c r="I60" i="1"/>
  <c r="K60" i="1" a="1"/>
  <c r="K60" i="1" s="1"/>
  <c r="L60" i="1"/>
  <c r="M60" i="1"/>
  <c r="D61" i="1" a="1"/>
  <c r="D61" i="1" s="1"/>
  <c r="E61" i="1"/>
  <c r="F61" i="1" s="1"/>
  <c r="G61" i="1" s="1"/>
  <c r="O61" i="1" s="1"/>
  <c r="H61" i="1"/>
  <c r="I61" i="1"/>
  <c r="K61" i="1" a="1"/>
  <c r="K61" i="1" s="1"/>
  <c r="L61" i="1"/>
  <c r="M61" i="1"/>
  <c r="D62" i="1" a="1"/>
  <c r="D62" i="1" s="1"/>
  <c r="E62" i="1"/>
  <c r="F62" i="1" s="1"/>
  <c r="G62" i="1" s="1"/>
  <c r="O62" i="1" s="1"/>
  <c r="H62" i="1"/>
  <c r="I62" i="1"/>
  <c r="K62" i="1" a="1"/>
  <c r="K62" i="1" s="1"/>
  <c r="L62" i="1"/>
  <c r="M62" i="1"/>
  <c r="D63" i="1" a="1"/>
  <c r="D63" i="1" s="1"/>
  <c r="E63" i="1"/>
  <c r="F63" i="1" s="1"/>
  <c r="G63" i="1" s="1"/>
  <c r="O63" i="1" s="1"/>
  <c r="H63" i="1"/>
  <c r="I63" i="1"/>
  <c r="K63" i="1" a="1"/>
  <c r="K63" i="1" s="1"/>
  <c r="L63" i="1"/>
  <c r="M63" i="1"/>
  <c r="D64" i="1" a="1"/>
  <c r="D64" i="1" s="1"/>
  <c r="E64" i="1"/>
  <c r="F64" i="1" s="1"/>
  <c r="G64" i="1" s="1"/>
  <c r="O64" i="1" s="1"/>
  <c r="H64" i="1"/>
  <c r="I64" i="1"/>
  <c r="K64" i="1" a="1"/>
  <c r="K64" i="1" s="1"/>
  <c r="L64" i="1"/>
  <c r="M64" i="1"/>
  <c r="D65" i="1" a="1"/>
  <c r="D65" i="1" s="1"/>
  <c r="E65" i="1"/>
  <c r="F65" i="1" s="1"/>
  <c r="G65" i="1" s="1"/>
  <c r="O65" i="1" s="1"/>
  <c r="H65" i="1"/>
  <c r="I65" i="1"/>
  <c r="K65" i="1" a="1"/>
  <c r="K65" i="1" s="1"/>
  <c r="L65" i="1"/>
  <c r="M65" i="1"/>
  <c r="D66" i="1" a="1"/>
  <c r="D66" i="1" s="1"/>
  <c r="E66" i="1"/>
  <c r="F66" i="1" s="1"/>
  <c r="G66" i="1" s="1"/>
  <c r="O66" i="1" s="1"/>
  <c r="H66" i="1"/>
  <c r="I66" i="1"/>
  <c r="K66" i="1" a="1"/>
  <c r="K66" i="1" s="1"/>
  <c r="L66" i="1"/>
  <c r="M66" i="1"/>
  <c r="D67" i="1" a="1"/>
  <c r="D67" i="1" s="1"/>
  <c r="E67" i="1"/>
  <c r="F67" i="1" s="1"/>
  <c r="G67" i="1" s="1"/>
  <c r="O67" i="1" s="1"/>
  <c r="H67" i="1"/>
  <c r="I67" i="1"/>
  <c r="K67" i="1" a="1"/>
  <c r="K67" i="1" s="1"/>
  <c r="L67" i="1"/>
  <c r="M67" i="1"/>
  <c r="D68" i="1" a="1"/>
  <c r="D68" i="1" s="1"/>
  <c r="E68" i="1"/>
  <c r="F68" i="1" s="1"/>
  <c r="G68" i="1" s="1"/>
  <c r="O68" i="1" s="1"/>
  <c r="H68" i="1"/>
  <c r="I68" i="1"/>
  <c r="K68" i="1" a="1"/>
  <c r="K68" i="1" s="1"/>
  <c r="L68" i="1"/>
  <c r="M68" i="1"/>
  <c r="D69" i="1" a="1"/>
  <c r="D69" i="1" s="1"/>
  <c r="E69" i="1"/>
  <c r="F69" i="1" s="1"/>
  <c r="G69" i="1" s="1"/>
  <c r="O69" i="1" s="1"/>
  <c r="H69" i="1"/>
  <c r="I69" i="1"/>
  <c r="K69" i="1" a="1"/>
  <c r="K69" i="1" s="1"/>
  <c r="L69" i="1"/>
  <c r="M69" i="1"/>
  <c r="D70" i="1" a="1"/>
  <c r="D70" i="1" s="1"/>
  <c r="E70" i="1"/>
  <c r="F70" i="1" s="1"/>
  <c r="G70" i="1" s="1"/>
  <c r="O70" i="1" s="1"/>
  <c r="H70" i="1"/>
  <c r="I70" i="1"/>
  <c r="K70" i="1" a="1"/>
  <c r="K70" i="1" s="1"/>
  <c r="L70" i="1"/>
  <c r="M70" i="1"/>
  <c r="D71" i="1" a="1"/>
  <c r="D71" i="1" s="1"/>
  <c r="E71" i="1"/>
  <c r="F71" i="1" s="1"/>
  <c r="G71" i="1" s="1"/>
  <c r="O71" i="1" s="1"/>
  <c r="H71" i="1"/>
  <c r="I71" i="1"/>
  <c r="K71" i="1" a="1"/>
  <c r="K71" i="1" s="1"/>
  <c r="L71" i="1"/>
  <c r="M71" i="1"/>
  <c r="D72" i="1" a="1"/>
  <c r="D72" i="1" s="1"/>
  <c r="E72" i="1"/>
  <c r="F72" i="1" s="1"/>
  <c r="G72" i="1" s="1"/>
  <c r="O72" i="1" s="1"/>
  <c r="H72" i="1"/>
  <c r="I72" i="1"/>
  <c r="K72" i="1" a="1"/>
  <c r="K72" i="1" s="1"/>
  <c r="L72" i="1"/>
  <c r="M72" i="1"/>
  <c r="D73" i="1" a="1"/>
  <c r="D73" i="1" s="1"/>
  <c r="E73" i="1"/>
  <c r="F73" i="1" s="1"/>
  <c r="G73" i="1" s="1"/>
  <c r="O73" i="1" s="1"/>
  <c r="H73" i="1"/>
  <c r="I73" i="1"/>
  <c r="K73" i="1" a="1"/>
  <c r="K73" i="1" s="1"/>
  <c r="L73" i="1"/>
  <c r="M73" i="1"/>
  <c r="D74" i="1" a="1"/>
  <c r="D74" i="1" s="1"/>
  <c r="E74" i="1"/>
  <c r="F74" i="1" s="1"/>
  <c r="G74" i="1" s="1"/>
  <c r="O74" i="1" s="1"/>
  <c r="H74" i="1"/>
  <c r="I74" i="1"/>
  <c r="K74" i="1" a="1"/>
  <c r="K74" i="1" s="1"/>
  <c r="L74" i="1"/>
  <c r="M74" i="1"/>
  <c r="D75" i="1" a="1"/>
  <c r="D75" i="1" s="1"/>
  <c r="E75" i="1"/>
  <c r="F75" i="1" s="1"/>
  <c r="G75" i="1" s="1"/>
  <c r="O75" i="1" s="1"/>
  <c r="H75" i="1"/>
  <c r="I75" i="1"/>
  <c r="K75" i="1" a="1"/>
  <c r="K75" i="1" s="1"/>
  <c r="L75" i="1"/>
  <c r="M75" i="1"/>
  <c r="D76" i="1" a="1"/>
  <c r="D76" i="1" s="1"/>
  <c r="E76" i="1"/>
  <c r="F76" i="1" s="1"/>
  <c r="G76" i="1" s="1"/>
  <c r="O76" i="1" s="1"/>
  <c r="H76" i="1"/>
  <c r="I76" i="1"/>
  <c r="K76" i="1" a="1"/>
  <c r="K76" i="1" s="1"/>
  <c r="L76" i="1"/>
  <c r="M76" i="1"/>
  <c r="D77" i="1" a="1"/>
  <c r="D77" i="1" s="1"/>
  <c r="E77" i="1"/>
  <c r="F77" i="1" s="1"/>
  <c r="G77" i="1" s="1"/>
  <c r="O77" i="1" s="1"/>
  <c r="H77" i="1"/>
  <c r="I77" i="1"/>
  <c r="K77" i="1" a="1"/>
  <c r="K77" i="1" s="1"/>
  <c r="L77" i="1"/>
  <c r="M77" i="1"/>
  <c r="D78" i="1" a="1"/>
  <c r="D78" i="1" s="1"/>
  <c r="E78" i="1"/>
  <c r="F78" i="1" s="1"/>
  <c r="G78" i="1" s="1"/>
  <c r="O78" i="1" s="1"/>
  <c r="H78" i="1"/>
  <c r="I78" i="1"/>
  <c r="K78" i="1" a="1"/>
  <c r="K78" i="1" s="1"/>
  <c r="L78" i="1"/>
  <c r="M78" i="1"/>
  <c r="D79" i="1" a="1"/>
  <c r="D79" i="1" s="1"/>
  <c r="E79" i="1"/>
  <c r="F79" i="1" s="1"/>
  <c r="G79" i="1" s="1"/>
  <c r="O79" i="1" s="1"/>
  <c r="H79" i="1"/>
  <c r="I79" i="1"/>
  <c r="K79" i="1" a="1"/>
  <c r="K79" i="1" s="1"/>
  <c r="L79" i="1"/>
  <c r="M79" i="1"/>
  <c r="D80" i="1" a="1"/>
  <c r="D80" i="1" s="1"/>
  <c r="E80" i="1"/>
  <c r="F80" i="1" s="1"/>
  <c r="G80" i="1" s="1"/>
  <c r="O80" i="1" s="1"/>
  <c r="H80" i="1"/>
  <c r="I80" i="1"/>
  <c r="K80" i="1" a="1"/>
  <c r="K80" i="1" s="1"/>
  <c r="L80" i="1"/>
  <c r="M80" i="1"/>
  <c r="D81" i="1" a="1"/>
  <c r="D81" i="1" s="1"/>
  <c r="E81" i="1"/>
  <c r="F81" i="1" s="1"/>
  <c r="G81" i="1" s="1"/>
  <c r="O81" i="1" s="1"/>
  <c r="H81" i="1"/>
  <c r="I81" i="1"/>
  <c r="K81" i="1" a="1"/>
  <c r="K81" i="1" s="1"/>
  <c r="L81" i="1"/>
  <c r="M81" i="1"/>
  <c r="D82" i="1" a="1"/>
  <c r="D82" i="1" s="1"/>
  <c r="E82" i="1"/>
  <c r="F82" i="1" s="1"/>
  <c r="G82" i="1" s="1"/>
  <c r="O82" i="1" s="1"/>
  <c r="H82" i="1"/>
  <c r="I82" i="1"/>
  <c r="K82" i="1" a="1"/>
  <c r="K82" i="1" s="1"/>
  <c r="L82" i="1"/>
  <c r="M82" i="1"/>
  <c r="D83" i="1" a="1"/>
  <c r="D83" i="1" s="1"/>
  <c r="E83" i="1"/>
  <c r="F83" i="1" s="1"/>
  <c r="G83" i="1" s="1"/>
  <c r="O83" i="1" s="1"/>
  <c r="H83" i="1"/>
  <c r="I83" i="1"/>
  <c r="K83" i="1" a="1"/>
  <c r="K83" i="1" s="1"/>
  <c r="L83" i="1"/>
  <c r="M83" i="1"/>
  <c r="D84" i="1" a="1"/>
  <c r="D84" i="1" s="1"/>
  <c r="E84" i="1"/>
  <c r="F84" i="1" s="1"/>
  <c r="G84" i="1" s="1"/>
  <c r="O84" i="1" s="1"/>
  <c r="H84" i="1"/>
  <c r="I84" i="1"/>
  <c r="K84" i="1" a="1"/>
  <c r="K84" i="1" s="1"/>
  <c r="L84" i="1"/>
  <c r="M84" i="1"/>
  <c r="D85" i="1" a="1"/>
  <c r="D85" i="1" s="1"/>
  <c r="E85" i="1"/>
  <c r="F85" i="1" s="1"/>
  <c r="G85" i="1" s="1"/>
  <c r="O85" i="1" s="1"/>
  <c r="H85" i="1"/>
  <c r="I85" i="1"/>
  <c r="K85" i="1" a="1"/>
  <c r="K85" i="1" s="1"/>
  <c r="L85" i="1"/>
  <c r="M85" i="1"/>
  <c r="D86" i="1" a="1"/>
  <c r="D86" i="1" s="1"/>
  <c r="E86" i="1"/>
  <c r="F86" i="1" s="1"/>
  <c r="G86" i="1" s="1"/>
  <c r="O86" i="1" s="1"/>
  <c r="H86" i="1"/>
  <c r="I86" i="1"/>
  <c r="K86" i="1" a="1"/>
  <c r="K86" i="1" s="1"/>
  <c r="L86" i="1"/>
  <c r="M86" i="1"/>
  <c r="D87" i="1" a="1"/>
  <c r="D87" i="1" s="1"/>
  <c r="E87" i="1"/>
  <c r="F87" i="1" s="1"/>
  <c r="G87" i="1" s="1"/>
  <c r="O87" i="1" s="1"/>
  <c r="H87" i="1"/>
  <c r="I87" i="1"/>
  <c r="K87" i="1" a="1"/>
  <c r="K87" i="1" s="1"/>
  <c r="L87" i="1"/>
  <c r="M87" i="1"/>
  <c r="D88" i="1" a="1"/>
  <c r="D88" i="1" s="1"/>
  <c r="E88" i="1"/>
  <c r="F88" i="1" s="1"/>
  <c r="G88" i="1" s="1"/>
  <c r="O88" i="1" s="1"/>
  <c r="H88" i="1"/>
  <c r="I88" i="1"/>
  <c r="K88" i="1" a="1"/>
  <c r="K88" i="1" s="1"/>
  <c r="L88" i="1"/>
  <c r="M88" i="1"/>
  <c r="D89" i="1" a="1"/>
  <c r="D89" i="1" s="1"/>
  <c r="E89" i="1"/>
  <c r="F89" i="1" s="1"/>
  <c r="G89" i="1" s="1"/>
  <c r="O89" i="1" s="1"/>
  <c r="H89" i="1"/>
  <c r="I89" i="1"/>
  <c r="K89" i="1" a="1"/>
  <c r="K89" i="1" s="1"/>
  <c r="L89" i="1"/>
  <c r="M89" i="1"/>
  <c r="D90" i="1" a="1"/>
  <c r="D90" i="1" s="1"/>
  <c r="E90" i="1"/>
  <c r="F90" i="1" s="1"/>
  <c r="G90" i="1" s="1"/>
  <c r="O90" i="1" s="1"/>
  <c r="H90" i="1"/>
  <c r="I90" i="1"/>
  <c r="K90" i="1" a="1"/>
  <c r="K90" i="1" s="1"/>
  <c r="L90" i="1"/>
  <c r="M90" i="1"/>
  <c r="D91" i="1" a="1"/>
  <c r="D91" i="1" s="1"/>
  <c r="E91" i="1"/>
  <c r="F91" i="1" s="1"/>
  <c r="G91" i="1" s="1"/>
  <c r="O91" i="1" s="1"/>
  <c r="H91" i="1"/>
  <c r="I91" i="1"/>
  <c r="K91" i="1" a="1"/>
  <c r="K91" i="1" s="1"/>
  <c r="L91" i="1"/>
  <c r="M91" i="1"/>
  <c r="D92" i="1" a="1"/>
  <c r="D92" i="1" s="1"/>
  <c r="E92" i="1"/>
  <c r="F92" i="1" s="1"/>
  <c r="G92" i="1" s="1"/>
  <c r="O92" i="1" s="1"/>
  <c r="H92" i="1"/>
  <c r="I92" i="1"/>
  <c r="K92" i="1" a="1"/>
  <c r="K92" i="1" s="1"/>
  <c r="L92" i="1"/>
  <c r="M92" i="1"/>
  <c r="D93" i="1" a="1"/>
  <c r="D93" i="1" s="1"/>
  <c r="E93" i="1"/>
  <c r="F93" i="1" s="1"/>
  <c r="G93" i="1" s="1"/>
  <c r="O93" i="1" s="1"/>
  <c r="H93" i="1"/>
  <c r="I93" i="1"/>
  <c r="K93" i="1" a="1"/>
  <c r="K93" i="1" s="1"/>
  <c r="L93" i="1"/>
  <c r="M93" i="1"/>
  <c r="D94" i="1" a="1"/>
  <c r="D94" i="1" s="1"/>
  <c r="E94" i="1"/>
  <c r="F94" i="1" s="1"/>
  <c r="G94" i="1" s="1"/>
  <c r="O94" i="1" s="1"/>
  <c r="H94" i="1"/>
  <c r="I94" i="1"/>
  <c r="K94" i="1" a="1"/>
  <c r="K94" i="1" s="1"/>
  <c r="L94" i="1"/>
  <c r="M94" i="1"/>
  <c r="D95" i="1" a="1"/>
  <c r="D95" i="1" s="1"/>
  <c r="E95" i="1"/>
  <c r="F95" i="1" s="1"/>
  <c r="G95" i="1" s="1"/>
  <c r="O95" i="1" s="1"/>
  <c r="H95" i="1"/>
  <c r="I95" i="1"/>
  <c r="K95" i="1" a="1"/>
  <c r="K95" i="1" s="1"/>
  <c r="L95" i="1"/>
  <c r="M95" i="1"/>
  <c r="D96" i="1" a="1"/>
  <c r="D96" i="1" s="1"/>
  <c r="E96" i="1"/>
  <c r="F96" i="1" s="1"/>
  <c r="G96" i="1" s="1"/>
  <c r="O96" i="1" s="1"/>
  <c r="H96" i="1"/>
  <c r="I96" i="1"/>
  <c r="K96" i="1" a="1"/>
  <c r="K96" i="1" s="1"/>
  <c r="L96" i="1"/>
  <c r="M96" i="1"/>
  <c r="D97" i="1" a="1"/>
  <c r="D97" i="1" s="1"/>
  <c r="E97" i="1"/>
  <c r="F97" i="1" s="1"/>
  <c r="G97" i="1" s="1"/>
  <c r="O97" i="1" s="1"/>
  <c r="H97" i="1"/>
  <c r="I97" i="1"/>
  <c r="K97" i="1" a="1"/>
  <c r="K97" i="1" s="1"/>
  <c r="L97" i="1"/>
  <c r="M97" i="1"/>
  <c r="D98" i="1" a="1"/>
  <c r="D98" i="1" s="1"/>
  <c r="E98" i="1"/>
  <c r="F98" i="1" s="1"/>
  <c r="G98" i="1" s="1"/>
  <c r="O98" i="1" s="1"/>
  <c r="H98" i="1"/>
  <c r="I98" i="1"/>
  <c r="K98" i="1" a="1"/>
  <c r="K98" i="1" s="1"/>
  <c r="L98" i="1"/>
  <c r="M98" i="1"/>
  <c r="D99" i="1" a="1"/>
  <c r="D99" i="1" s="1"/>
  <c r="E99" i="1"/>
  <c r="F99" i="1" s="1"/>
  <c r="G99" i="1" s="1"/>
  <c r="O99" i="1" s="1"/>
  <c r="H99" i="1"/>
  <c r="I99" i="1"/>
  <c r="K99" i="1" a="1"/>
  <c r="K99" i="1" s="1"/>
  <c r="L99" i="1"/>
  <c r="M99" i="1"/>
  <c r="D100" i="1" a="1"/>
  <c r="D100" i="1" s="1"/>
  <c r="E100" i="1"/>
  <c r="F100" i="1" s="1"/>
  <c r="G100" i="1" s="1"/>
  <c r="O100" i="1" s="1"/>
  <c r="H100" i="1"/>
  <c r="I100" i="1"/>
  <c r="K100" i="1" a="1"/>
  <c r="K100" i="1" s="1"/>
  <c r="L100" i="1"/>
  <c r="M100" i="1"/>
  <c r="D101" i="1" a="1"/>
  <c r="D101" i="1" s="1"/>
  <c r="E101" i="1"/>
  <c r="F101" i="1" s="1"/>
  <c r="G101" i="1" s="1"/>
  <c r="O101" i="1" s="1"/>
  <c r="H101" i="1"/>
  <c r="I101" i="1"/>
  <c r="K101" i="1" a="1"/>
  <c r="K101" i="1" s="1"/>
  <c r="L101" i="1"/>
  <c r="M101" i="1"/>
  <c r="D102" i="1" a="1"/>
  <c r="D102" i="1" s="1"/>
  <c r="E102" i="1"/>
  <c r="F102" i="1" s="1"/>
  <c r="G102" i="1" s="1"/>
  <c r="O102" i="1" s="1"/>
  <c r="H102" i="1"/>
  <c r="I102" i="1"/>
  <c r="K102" i="1" a="1"/>
  <c r="K102" i="1" s="1"/>
  <c r="L102" i="1"/>
  <c r="M102" i="1"/>
  <c r="D103" i="1" a="1"/>
  <c r="D103" i="1" s="1"/>
  <c r="E103" i="1"/>
  <c r="F103" i="1" s="1"/>
  <c r="G103" i="1" s="1"/>
  <c r="O103" i="1" s="1"/>
  <c r="H103" i="1"/>
  <c r="I103" i="1"/>
  <c r="K103" i="1" a="1"/>
  <c r="K103" i="1" s="1"/>
  <c r="L103" i="1"/>
  <c r="M103" i="1"/>
  <c r="D104" i="1" a="1"/>
  <c r="D104" i="1" s="1"/>
  <c r="E104" i="1"/>
  <c r="F104" i="1" s="1"/>
  <c r="G104" i="1" s="1"/>
  <c r="O104" i="1" s="1"/>
  <c r="H104" i="1"/>
  <c r="I104" i="1"/>
  <c r="K104" i="1" a="1"/>
  <c r="K104" i="1" s="1"/>
  <c r="L104" i="1"/>
  <c r="M104" i="1"/>
  <c r="D105" i="1" a="1"/>
  <c r="D105" i="1" s="1"/>
  <c r="E105" i="1"/>
  <c r="F105" i="1" s="1"/>
  <c r="G105" i="1" s="1"/>
  <c r="O105" i="1" s="1"/>
  <c r="H105" i="1"/>
  <c r="I105" i="1"/>
  <c r="K105" i="1" a="1"/>
  <c r="K105" i="1" s="1"/>
  <c r="L105" i="1"/>
  <c r="M105" i="1"/>
  <c r="D106" i="1" a="1"/>
  <c r="D106" i="1" s="1"/>
  <c r="E106" i="1"/>
  <c r="F106" i="1" s="1"/>
  <c r="G106" i="1" s="1"/>
  <c r="O106" i="1" s="1"/>
  <c r="H106" i="1"/>
  <c r="I106" i="1"/>
  <c r="K106" i="1" a="1"/>
  <c r="K106" i="1" s="1"/>
  <c r="L106" i="1"/>
  <c r="M106" i="1"/>
  <c r="D107" i="1" a="1"/>
  <c r="D107" i="1" s="1"/>
  <c r="E107" i="1"/>
  <c r="F107" i="1" s="1"/>
  <c r="G107" i="1" s="1"/>
  <c r="O107" i="1" s="1"/>
  <c r="H107" i="1"/>
  <c r="I107" i="1"/>
  <c r="K107" i="1" a="1"/>
  <c r="K107" i="1" s="1"/>
  <c r="L107" i="1"/>
  <c r="M107" i="1"/>
  <c r="D108" i="1" a="1"/>
  <c r="D108" i="1" s="1"/>
  <c r="E108" i="1"/>
  <c r="F108" i="1" s="1"/>
  <c r="G108" i="1" s="1"/>
  <c r="O108" i="1" s="1"/>
  <c r="H108" i="1"/>
  <c r="I108" i="1"/>
  <c r="K108" i="1" a="1"/>
  <c r="K108" i="1" s="1"/>
  <c r="L108" i="1"/>
  <c r="M108" i="1"/>
  <c r="D109" i="1" a="1"/>
  <c r="D109" i="1" s="1"/>
  <c r="E109" i="1"/>
  <c r="F109" i="1" s="1"/>
  <c r="G109" i="1" s="1"/>
  <c r="O109" i="1" s="1"/>
  <c r="H109" i="1"/>
  <c r="I109" i="1"/>
  <c r="K109" i="1" a="1"/>
  <c r="K109" i="1" s="1"/>
  <c r="L109" i="1"/>
  <c r="M109" i="1"/>
  <c r="D110" i="1" a="1"/>
  <c r="D110" i="1" s="1"/>
  <c r="E110" i="1"/>
  <c r="F110" i="1" s="1"/>
  <c r="G110" i="1" s="1"/>
  <c r="O110" i="1" s="1"/>
  <c r="H110" i="1"/>
  <c r="I110" i="1"/>
  <c r="K110" i="1" a="1"/>
  <c r="K110" i="1" s="1"/>
  <c r="L110" i="1"/>
  <c r="M110" i="1"/>
  <c r="D111" i="1" a="1"/>
  <c r="D111" i="1" s="1"/>
  <c r="E111" i="1"/>
  <c r="F111" i="1" s="1"/>
  <c r="G111" i="1" s="1"/>
  <c r="O111" i="1" s="1"/>
  <c r="H111" i="1"/>
  <c r="I111" i="1"/>
  <c r="K111" i="1" a="1"/>
  <c r="K111" i="1" s="1"/>
  <c r="L111" i="1"/>
  <c r="M111" i="1"/>
  <c r="D112" i="1" a="1"/>
  <c r="D112" i="1" s="1"/>
  <c r="E112" i="1"/>
  <c r="F112" i="1" s="1"/>
  <c r="G112" i="1" s="1"/>
  <c r="O112" i="1" s="1"/>
  <c r="H112" i="1"/>
  <c r="I112" i="1"/>
  <c r="K112" i="1" a="1"/>
  <c r="K112" i="1" s="1"/>
  <c r="L112" i="1"/>
  <c r="M112" i="1"/>
  <c r="D113" i="1" a="1"/>
  <c r="D113" i="1" s="1"/>
  <c r="E113" i="1"/>
  <c r="F113" i="1" s="1"/>
  <c r="G113" i="1" s="1"/>
  <c r="O113" i="1" s="1"/>
  <c r="H113" i="1"/>
  <c r="I113" i="1"/>
  <c r="K113" i="1" a="1"/>
  <c r="K113" i="1" s="1"/>
  <c r="L113" i="1"/>
  <c r="M113" i="1"/>
  <c r="D114" i="1" a="1"/>
  <c r="D114" i="1" s="1"/>
  <c r="E114" i="1"/>
  <c r="F114" i="1" s="1"/>
  <c r="G114" i="1" s="1"/>
  <c r="O114" i="1" s="1"/>
  <c r="H114" i="1"/>
  <c r="I114" i="1"/>
  <c r="K114" i="1" a="1"/>
  <c r="K114" i="1" s="1"/>
  <c r="L114" i="1"/>
  <c r="M114" i="1"/>
  <c r="D115" i="1" a="1"/>
  <c r="D115" i="1" s="1"/>
  <c r="E115" i="1"/>
  <c r="F115" i="1" s="1"/>
  <c r="G115" i="1" s="1"/>
  <c r="O115" i="1" s="1"/>
  <c r="H115" i="1"/>
  <c r="I115" i="1"/>
  <c r="K115" i="1" a="1"/>
  <c r="K115" i="1" s="1"/>
  <c r="L115" i="1"/>
  <c r="M115" i="1"/>
  <c r="D116" i="1" a="1"/>
  <c r="D116" i="1" s="1"/>
  <c r="E116" i="1"/>
  <c r="F116" i="1" s="1"/>
  <c r="G116" i="1" s="1"/>
  <c r="O116" i="1" s="1"/>
  <c r="H116" i="1"/>
  <c r="I116" i="1"/>
  <c r="K116" i="1" a="1"/>
  <c r="K116" i="1" s="1"/>
  <c r="L116" i="1"/>
  <c r="M116" i="1"/>
  <c r="D117" i="1" a="1"/>
  <c r="D117" i="1" s="1"/>
  <c r="E117" i="1"/>
  <c r="F117" i="1" s="1"/>
  <c r="G117" i="1" s="1"/>
  <c r="O117" i="1" s="1"/>
  <c r="H117" i="1"/>
  <c r="I117" i="1"/>
  <c r="K117" i="1" a="1"/>
  <c r="K117" i="1" s="1"/>
  <c r="L117" i="1"/>
  <c r="M117" i="1"/>
  <c r="D118" i="1" a="1"/>
  <c r="D118" i="1" s="1"/>
  <c r="E118" i="1"/>
  <c r="F118" i="1" s="1"/>
  <c r="G118" i="1" s="1"/>
  <c r="O118" i="1" s="1"/>
  <c r="H118" i="1"/>
  <c r="I118" i="1"/>
  <c r="K118" i="1" a="1"/>
  <c r="K118" i="1" s="1"/>
  <c r="L118" i="1"/>
  <c r="M118" i="1"/>
  <c r="D119" i="1" a="1"/>
  <c r="D119" i="1" s="1"/>
  <c r="E119" i="1"/>
  <c r="F119" i="1" s="1"/>
  <c r="G119" i="1" s="1"/>
  <c r="O119" i="1" s="1"/>
  <c r="H119" i="1"/>
  <c r="I119" i="1"/>
  <c r="K119" i="1" a="1"/>
  <c r="K119" i="1" s="1"/>
  <c r="L119" i="1"/>
  <c r="M119" i="1"/>
  <c r="D120" i="1" a="1"/>
  <c r="D120" i="1" s="1"/>
  <c r="E120" i="1"/>
  <c r="F120" i="1" s="1"/>
  <c r="G120" i="1" s="1"/>
  <c r="O120" i="1" s="1"/>
  <c r="H120" i="1"/>
  <c r="I120" i="1"/>
  <c r="K120" i="1" a="1"/>
  <c r="K120" i="1" s="1"/>
  <c r="L120" i="1"/>
  <c r="M120" i="1"/>
  <c r="D121" i="1" a="1"/>
  <c r="D121" i="1" s="1"/>
  <c r="E121" i="1"/>
  <c r="F121" i="1" s="1"/>
  <c r="G121" i="1" s="1"/>
  <c r="O121" i="1" s="1"/>
  <c r="H121" i="1"/>
  <c r="I121" i="1"/>
  <c r="K121" i="1" a="1"/>
  <c r="K121" i="1" s="1"/>
  <c r="L121" i="1"/>
  <c r="M121" i="1"/>
  <c r="D122" i="1" a="1"/>
  <c r="D122" i="1" s="1"/>
  <c r="E122" i="1"/>
  <c r="F122" i="1" s="1"/>
  <c r="G122" i="1" s="1"/>
  <c r="O122" i="1" s="1"/>
  <c r="H122" i="1"/>
  <c r="I122" i="1"/>
  <c r="K122" i="1" a="1"/>
  <c r="K122" i="1" s="1"/>
  <c r="L122" i="1"/>
  <c r="M122" i="1"/>
  <c r="D123" i="1" a="1"/>
  <c r="D123" i="1" s="1"/>
  <c r="E123" i="1"/>
  <c r="F123" i="1" s="1"/>
  <c r="G123" i="1" s="1"/>
  <c r="O123" i="1" s="1"/>
  <c r="H123" i="1"/>
  <c r="I123" i="1"/>
  <c r="K123" i="1" a="1"/>
  <c r="K123" i="1" s="1"/>
  <c r="L123" i="1"/>
  <c r="M123" i="1"/>
  <c r="D124" i="1" a="1"/>
  <c r="D124" i="1" s="1"/>
  <c r="E124" i="1"/>
  <c r="F124" i="1" s="1"/>
  <c r="G124" i="1" s="1"/>
  <c r="O124" i="1" s="1"/>
  <c r="H124" i="1"/>
  <c r="I124" i="1"/>
  <c r="K124" i="1" a="1"/>
  <c r="K124" i="1" s="1"/>
  <c r="L124" i="1"/>
  <c r="M124" i="1"/>
  <c r="D125" i="1" a="1"/>
  <c r="D125" i="1" s="1"/>
  <c r="E125" i="1"/>
  <c r="F125" i="1" s="1"/>
  <c r="G125" i="1" s="1"/>
  <c r="O125" i="1" s="1"/>
  <c r="H125" i="1"/>
  <c r="I125" i="1"/>
  <c r="K125" i="1" a="1"/>
  <c r="K125" i="1" s="1"/>
  <c r="L125" i="1"/>
  <c r="M125" i="1"/>
  <c r="D126" i="1" a="1"/>
  <c r="D126" i="1" s="1"/>
  <c r="E126" i="1"/>
  <c r="F126" i="1" s="1"/>
  <c r="G126" i="1" s="1"/>
  <c r="O126" i="1" s="1"/>
  <c r="H126" i="1"/>
  <c r="I126" i="1"/>
  <c r="K126" i="1" a="1"/>
  <c r="K126" i="1" s="1"/>
  <c r="L126" i="1"/>
  <c r="M126" i="1"/>
  <c r="D127" i="1" a="1"/>
  <c r="D127" i="1" s="1"/>
  <c r="E127" i="1"/>
  <c r="F127" i="1" s="1"/>
  <c r="G127" i="1" s="1"/>
  <c r="O127" i="1" s="1"/>
  <c r="H127" i="1"/>
  <c r="I127" i="1"/>
  <c r="K127" i="1" a="1"/>
  <c r="K127" i="1" s="1"/>
  <c r="L127" i="1"/>
  <c r="M127" i="1"/>
  <c r="D128" i="1" a="1"/>
  <c r="D128" i="1" s="1"/>
  <c r="E128" i="1"/>
  <c r="F128" i="1" s="1"/>
  <c r="G128" i="1" s="1"/>
  <c r="O128" i="1" s="1"/>
  <c r="H128" i="1"/>
  <c r="I128" i="1"/>
  <c r="K128" i="1" a="1"/>
  <c r="K128" i="1" s="1"/>
  <c r="L128" i="1"/>
  <c r="M128" i="1"/>
  <c r="D129" i="1" a="1"/>
  <c r="D129" i="1" s="1"/>
  <c r="E129" i="1"/>
  <c r="F129" i="1" s="1"/>
  <c r="G129" i="1" s="1"/>
  <c r="O129" i="1" s="1"/>
  <c r="H129" i="1"/>
  <c r="I129" i="1"/>
  <c r="K129" i="1" a="1"/>
  <c r="K129" i="1" s="1"/>
  <c r="L129" i="1"/>
  <c r="M129" i="1"/>
  <c r="D130" i="1" a="1"/>
  <c r="D130" i="1" s="1"/>
  <c r="E130" i="1"/>
  <c r="F130" i="1" s="1"/>
  <c r="G130" i="1" s="1"/>
  <c r="O130" i="1" s="1"/>
  <c r="H130" i="1"/>
  <c r="I130" i="1"/>
  <c r="K130" i="1" a="1"/>
  <c r="K130" i="1" s="1"/>
  <c r="L130" i="1"/>
  <c r="M130" i="1"/>
  <c r="D131" i="1" a="1"/>
  <c r="D131" i="1" s="1"/>
  <c r="E131" i="1"/>
  <c r="F131" i="1" s="1"/>
  <c r="G131" i="1" s="1"/>
  <c r="O131" i="1" s="1"/>
  <c r="H131" i="1"/>
  <c r="I131" i="1"/>
  <c r="K131" i="1" a="1"/>
  <c r="K131" i="1" s="1"/>
  <c r="L131" i="1"/>
  <c r="M131" i="1"/>
  <c r="D132" i="1" a="1"/>
  <c r="D132" i="1" s="1"/>
  <c r="E132" i="1"/>
  <c r="F132" i="1" s="1"/>
  <c r="G132" i="1" s="1"/>
  <c r="O132" i="1" s="1"/>
  <c r="H132" i="1"/>
  <c r="I132" i="1"/>
  <c r="K132" i="1" a="1"/>
  <c r="K132" i="1" s="1"/>
  <c r="L132" i="1"/>
  <c r="M132" i="1"/>
  <c r="D133" i="1" a="1"/>
  <c r="D133" i="1" s="1"/>
  <c r="E133" i="1"/>
  <c r="F133" i="1" s="1"/>
  <c r="G133" i="1" s="1"/>
  <c r="O133" i="1" s="1"/>
  <c r="H133" i="1"/>
  <c r="I133" i="1"/>
  <c r="K133" i="1" a="1"/>
  <c r="K133" i="1" s="1"/>
  <c r="L133" i="1"/>
  <c r="M133" i="1"/>
  <c r="D134" i="1" a="1"/>
  <c r="D134" i="1" s="1"/>
  <c r="E134" i="1"/>
  <c r="F134" i="1" s="1"/>
  <c r="G134" i="1" s="1"/>
  <c r="O134" i="1" s="1"/>
  <c r="H134" i="1"/>
  <c r="I134" i="1"/>
  <c r="K134" i="1" a="1"/>
  <c r="K134" i="1" s="1"/>
  <c r="L134" i="1"/>
  <c r="M134" i="1"/>
  <c r="D135" i="1" a="1"/>
  <c r="D135" i="1" s="1"/>
  <c r="E135" i="1"/>
  <c r="F135" i="1" s="1"/>
  <c r="G135" i="1" s="1"/>
  <c r="O135" i="1" s="1"/>
  <c r="H135" i="1"/>
  <c r="I135" i="1"/>
  <c r="K135" i="1" a="1"/>
  <c r="K135" i="1" s="1"/>
  <c r="L135" i="1"/>
  <c r="M135" i="1"/>
  <c r="D136" i="1" a="1"/>
  <c r="D136" i="1" s="1"/>
  <c r="E136" i="1"/>
  <c r="F136" i="1" s="1"/>
  <c r="G136" i="1" s="1"/>
  <c r="O136" i="1" s="1"/>
  <c r="H136" i="1"/>
  <c r="I136" i="1"/>
  <c r="K136" i="1" a="1"/>
  <c r="K136" i="1" s="1"/>
  <c r="L136" i="1"/>
  <c r="M136" i="1"/>
  <c r="D137" i="1" a="1"/>
  <c r="D137" i="1" s="1"/>
  <c r="E137" i="1"/>
  <c r="F137" i="1" s="1"/>
  <c r="G137" i="1" s="1"/>
  <c r="O137" i="1" s="1"/>
  <c r="H137" i="1"/>
  <c r="I137" i="1"/>
  <c r="K137" i="1" a="1"/>
  <c r="K137" i="1" s="1"/>
  <c r="L137" i="1"/>
  <c r="M137" i="1"/>
  <c r="D138" i="1" a="1"/>
  <c r="D138" i="1" s="1"/>
  <c r="E138" i="1"/>
  <c r="F138" i="1" s="1"/>
  <c r="G138" i="1" s="1"/>
  <c r="O138" i="1" s="1"/>
  <c r="H138" i="1"/>
  <c r="I138" i="1"/>
  <c r="K138" i="1" a="1"/>
  <c r="K138" i="1" s="1"/>
  <c r="L138" i="1"/>
  <c r="M138" i="1"/>
  <c r="D139" i="1" a="1"/>
  <c r="D139" i="1" s="1"/>
  <c r="E139" i="1"/>
  <c r="F139" i="1" s="1"/>
  <c r="G139" i="1" s="1"/>
  <c r="O139" i="1" s="1"/>
  <c r="H139" i="1"/>
  <c r="I139" i="1"/>
  <c r="K139" i="1" a="1"/>
  <c r="K139" i="1" s="1"/>
  <c r="L139" i="1"/>
  <c r="M139" i="1"/>
  <c r="D140" i="1" a="1"/>
  <c r="D140" i="1" s="1"/>
  <c r="E140" i="1"/>
  <c r="F140" i="1" s="1"/>
  <c r="G140" i="1" s="1"/>
  <c r="O140" i="1" s="1"/>
  <c r="H140" i="1"/>
  <c r="I140" i="1"/>
  <c r="K140" i="1" a="1"/>
  <c r="K140" i="1" s="1"/>
  <c r="L140" i="1"/>
  <c r="M140" i="1"/>
  <c r="D141" i="1" a="1"/>
  <c r="D141" i="1" s="1"/>
  <c r="E141" i="1"/>
  <c r="F141" i="1" s="1"/>
  <c r="G141" i="1" s="1"/>
  <c r="O141" i="1" s="1"/>
  <c r="H141" i="1"/>
  <c r="I141" i="1"/>
  <c r="K141" i="1" a="1"/>
  <c r="K141" i="1" s="1"/>
  <c r="L141" i="1"/>
  <c r="M141" i="1"/>
  <c r="D142" i="1" a="1"/>
  <c r="D142" i="1" s="1"/>
  <c r="E142" i="1"/>
  <c r="F142" i="1" s="1"/>
  <c r="G142" i="1" s="1"/>
  <c r="O142" i="1" s="1"/>
  <c r="H142" i="1"/>
  <c r="I142" i="1"/>
  <c r="K142" i="1" a="1"/>
  <c r="K142" i="1" s="1"/>
  <c r="L142" i="1"/>
  <c r="M142" i="1"/>
  <c r="D143" i="1" a="1"/>
  <c r="D143" i="1" s="1"/>
  <c r="E143" i="1"/>
  <c r="F143" i="1" s="1"/>
  <c r="G143" i="1" s="1"/>
  <c r="O143" i="1" s="1"/>
  <c r="H143" i="1"/>
  <c r="I143" i="1"/>
  <c r="K143" i="1" a="1"/>
  <c r="K143" i="1" s="1"/>
  <c r="L143" i="1"/>
  <c r="M143" i="1"/>
  <c r="D144" i="1" a="1"/>
  <c r="D144" i="1" s="1"/>
  <c r="E144" i="1"/>
  <c r="F144" i="1" s="1"/>
  <c r="G144" i="1" s="1"/>
  <c r="O144" i="1" s="1"/>
  <c r="H144" i="1"/>
  <c r="I144" i="1"/>
  <c r="K144" i="1" a="1"/>
  <c r="K144" i="1" s="1"/>
  <c r="L144" i="1"/>
  <c r="M144" i="1"/>
  <c r="D145" i="1" a="1"/>
  <c r="D145" i="1" s="1"/>
  <c r="E145" i="1"/>
  <c r="F145" i="1" s="1"/>
  <c r="G145" i="1" s="1"/>
  <c r="O145" i="1" s="1"/>
  <c r="H145" i="1"/>
  <c r="I145" i="1"/>
  <c r="K145" i="1" a="1"/>
  <c r="K145" i="1" s="1"/>
  <c r="L145" i="1"/>
  <c r="M145" i="1"/>
  <c r="D146" i="1" a="1"/>
  <c r="D146" i="1" s="1"/>
  <c r="E146" i="1"/>
  <c r="F146" i="1" s="1"/>
  <c r="G146" i="1" s="1"/>
  <c r="O146" i="1" s="1"/>
  <c r="H146" i="1"/>
  <c r="I146" i="1"/>
  <c r="K146" i="1" a="1"/>
  <c r="K146" i="1" s="1"/>
  <c r="L146" i="1"/>
  <c r="M146" i="1"/>
  <c r="D147" i="1" a="1"/>
  <c r="D147" i="1" s="1"/>
  <c r="E147" i="1"/>
  <c r="F147" i="1" s="1"/>
  <c r="G147" i="1" s="1"/>
  <c r="O147" i="1" s="1"/>
  <c r="H147" i="1"/>
  <c r="I147" i="1"/>
  <c r="K147" i="1" a="1"/>
  <c r="K147" i="1" s="1"/>
  <c r="L147" i="1"/>
  <c r="M147" i="1"/>
  <c r="D148" i="1" a="1"/>
  <c r="D148" i="1" s="1"/>
  <c r="E148" i="1"/>
  <c r="F148" i="1" s="1"/>
  <c r="G148" i="1" s="1"/>
  <c r="O148" i="1" s="1"/>
  <c r="H148" i="1"/>
  <c r="I148" i="1"/>
  <c r="K148" i="1" a="1"/>
  <c r="K148" i="1" s="1"/>
  <c r="L148" i="1"/>
  <c r="M148" i="1"/>
  <c r="D149" i="1" a="1"/>
  <c r="D149" i="1" s="1"/>
  <c r="E149" i="1"/>
  <c r="F149" i="1" s="1"/>
  <c r="G149" i="1" s="1"/>
  <c r="O149" i="1" s="1"/>
  <c r="H149" i="1"/>
  <c r="I149" i="1"/>
  <c r="K149" i="1" a="1"/>
  <c r="K149" i="1" s="1"/>
  <c r="L149" i="1"/>
  <c r="M149" i="1"/>
  <c r="D150" i="1" a="1"/>
  <c r="D150" i="1" s="1"/>
  <c r="E150" i="1"/>
  <c r="F150" i="1" s="1"/>
  <c r="G150" i="1" s="1"/>
  <c r="O150" i="1" s="1"/>
  <c r="H150" i="1"/>
  <c r="I150" i="1"/>
  <c r="K150" i="1" a="1"/>
  <c r="K150" i="1" s="1"/>
  <c r="L150" i="1"/>
  <c r="M150" i="1"/>
  <c r="D151" i="1" a="1"/>
  <c r="D151" i="1" s="1"/>
  <c r="E151" i="1"/>
  <c r="F151" i="1" s="1"/>
  <c r="G151" i="1" s="1"/>
  <c r="O151" i="1" s="1"/>
  <c r="H151" i="1"/>
  <c r="I151" i="1"/>
  <c r="K151" i="1" a="1"/>
  <c r="K151" i="1" s="1"/>
  <c r="L151" i="1"/>
  <c r="M151" i="1"/>
  <c r="D152" i="1" a="1"/>
  <c r="D152" i="1" s="1"/>
  <c r="E152" i="1"/>
  <c r="F152" i="1" s="1"/>
  <c r="G152" i="1" s="1"/>
  <c r="O152" i="1" s="1"/>
  <c r="H152" i="1"/>
  <c r="I152" i="1"/>
  <c r="K152" i="1" a="1"/>
  <c r="K152" i="1" s="1"/>
  <c r="L152" i="1"/>
  <c r="M152" i="1"/>
  <c r="D153" i="1" a="1"/>
  <c r="D153" i="1" s="1"/>
  <c r="E153" i="1"/>
  <c r="F153" i="1" s="1"/>
  <c r="G153" i="1" s="1"/>
  <c r="O153" i="1" s="1"/>
  <c r="H153" i="1"/>
  <c r="I153" i="1"/>
  <c r="K153" i="1" a="1"/>
  <c r="K153" i="1" s="1"/>
  <c r="L153" i="1"/>
  <c r="M153" i="1"/>
  <c r="D154" i="1" a="1"/>
  <c r="D154" i="1" s="1"/>
  <c r="E154" i="1"/>
  <c r="F154" i="1" s="1"/>
  <c r="G154" i="1" s="1"/>
  <c r="O154" i="1" s="1"/>
  <c r="H154" i="1"/>
  <c r="I154" i="1"/>
  <c r="K154" i="1" a="1"/>
  <c r="K154" i="1" s="1"/>
  <c r="L154" i="1"/>
  <c r="M154" i="1"/>
  <c r="D155" i="1" a="1"/>
  <c r="D155" i="1" s="1"/>
  <c r="E155" i="1"/>
  <c r="F155" i="1" s="1"/>
  <c r="G155" i="1" s="1"/>
  <c r="O155" i="1" s="1"/>
  <c r="H155" i="1"/>
  <c r="I155" i="1"/>
  <c r="K155" i="1" a="1"/>
  <c r="K155" i="1" s="1"/>
  <c r="L155" i="1"/>
  <c r="M155" i="1"/>
  <c r="D156" i="1" a="1"/>
  <c r="D156" i="1" s="1"/>
  <c r="E156" i="1"/>
  <c r="F156" i="1" s="1"/>
  <c r="G156" i="1" s="1"/>
  <c r="O156" i="1" s="1"/>
  <c r="H156" i="1"/>
  <c r="I156" i="1"/>
  <c r="K156" i="1" a="1"/>
  <c r="K156" i="1" s="1"/>
  <c r="L156" i="1"/>
  <c r="M156" i="1"/>
  <c r="D157" i="1" a="1"/>
  <c r="D157" i="1" s="1"/>
  <c r="E157" i="1"/>
  <c r="F157" i="1" s="1"/>
  <c r="G157" i="1" s="1"/>
  <c r="O157" i="1" s="1"/>
  <c r="H157" i="1"/>
  <c r="I157" i="1"/>
  <c r="K157" i="1" a="1"/>
  <c r="K157" i="1" s="1"/>
  <c r="L157" i="1"/>
  <c r="M157" i="1"/>
  <c r="D158" i="1" a="1"/>
  <c r="D158" i="1" s="1"/>
  <c r="E158" i="1"/>
  <c r="F158" i="1" s="1"/>
  <c r="G158" i="1" s="1"/>
  <c r="O158" i="1" s="1"/>
  <c r="H158" i="1"/>
  <c r="I158" i="1"/>
  <c r="K158" i="1" a="1"/>
  <c r="K158" i="1" s="1"/>
  <c r="L158" i="1"/>
  <c r="M158" i="1"/>
  <c r="D159" i="1" a="1"/>
  <c r="D159" i="1" s="1"/>
  <c r="E159" i="1"/>
  <c r="F159" i="1" s="1"/>
  <c r="G159" i="1" s="1"/>
  <c r="O159" i="1" s="1"/>
  <c r="H159" i="1"/>
  <c r="I159" i="1"/>
  <c r="K159" i="1" a="1"/>
  <c r="K159" i="1" s="1"/>
  <c r="L159" i="1"/>
  <c r="M159" i="1"/>
  <c r="D160" i="1" a="1"/>
  <c r="D160" i="1" s="1"/>
  <c r="E160" i="1"/>
  <c r="F160" i="1" s="1"/>
  <c r="G160" i="1" s="1"/>
  <c r="O160" i="1" s="1"/>
  <c r="H160" i="1"/>
  <c r="I160" i="1"/>
  <c r="K160" i="1" a="1"/>
  <c r="K160" i="1" s="1"/>
  <c r="L160" i="1"/>
  <c r="M160" i="1"/>
  <c r="D161" i="1" a="1"/>
  <c r="D161" i="1" s="1"/>
  <c r="E161" i="1"/>
  <c r="F161" i="1" s="1"/>
  <c r="G161" i="1" s="1"/>
  <c r="O161" i="1" s="1"/>
  <c r="H161" i="1"/>
  <c r="I161" i="1"/>
  <c r="K161" i="1" a="1"/>
  <c r="K161" i="1" s="1"/>
  <c r="L161" i="1"/>
  <c r="M161" i="1"/>
  <c r="D162" i="1" a="1"/>
  <c r="D162" i="1" s="1"/>
  <c r="E162" i="1"/>
  <c r="F162" i="1" s="1"/>
  <c r="G162" i="1" s="1"/>
  <c r="O162" i="1" s="1"/>
  <c r="H162" i="1"/>
  <c r="I162" i="1"/>
  <c r="K162" i="1" a="1"/>
  <c r="K162" i="1" s="1"/>
  <c r="L162" i="1"/>
  <c r="M162" i="1"/>
  <c r="D163" i="1" a="1"/>
  <c r="D163" i="1" s="1"/>
  <c r="E163" i="1"/>
  <c r="F163" i="1" s="1"/>
  <c r="G163" i="1" s="1"/>
  <c r="O163" i="1" s="1"/>
  <c r="H163" i="1"/>
  <c r="I163" i="1"/>
  <c r="K163" i="1" a="1"/>
  <c r="K163" i="1" s="1"/>
  <c r="L163" i="1"/>
  <c r="M163" i="1"/>
  <c r="D164" i="1" a="1"/>
  <c r="D164" i="1" s="1"/>
  <c r="E164" i="1"/>
  <c r="F164" i="1" s="1"/>
  <c r="G164" i="1" s="1"/>
  <c r="O164" i="1" s="1"/>
  <c r="H164" i="1"/>
  <c r="I164" i="1"/>
  <c r="K164" i="1" a="1"/>
  <c r="K164" i="1" s="1"/>
  <c r="L164" i="1"/>
  <c r="M164" i="1"/>
  <c r="D165" i="1" a="1"/>
  <c r="D165" i="1" s="1"/>
  <c r="E165" i="1"/>
  <c r="F165" i="1" s="1"/>
  <c r="G165" i="1" s="1"/>
  <c r="O165" i="1" s="1"/>
  <c r="H165" i="1"/>
  <c r="I165" i="1"/>
  <c r="K165" i="1" a="1"/>
  <c r="K165" i="1" s="1"/>
  <c r="L165" i="1"/>
  <c r="M165" i="1"/>
  <c r="D166" i="1" a="1"/>
  <c r="D166" i="1" s="1"/>
  <c r="E166" i="1"/>
  <c r="F166" i="1" s="1"/>
  <c r="G166" i="1" s="1"/>
  <c r="O166" i="1" s="1"/>
  <c r="H166" i="1"/>
  <c r="I166" i="1"/>
  <c r="K166" i="1" a="1"/>
  <c r="K166" i="1" s="1"/>
  <c r="L166" i="1"/>
  <c r="M166" i="1"/>
  <c r="D167" i="1" a="1"/>
  <c r="D167" i="1" s="1"/>
  <c r="E167" i="1"/>
  <c r="F167" i="1" s="1"/>
  <c r="G167" i="1" s="1"/>
  <c r="O167" i="1" s="1"/>
  <c r="H167" i="1"/>
  <c r="I167" i="1"/>
  <c r="K167" i="1" a="1"/>
  <c r="K167" i="1" s="1"/>
  <c r="L167" i="1"/>
  <c r="M167" i="1"/>
  <c r="D168" i="1" a="1"/>
  <c r="D168" i="1" s="1"/>
  <c r="E168" i="1"/>
  <c r="F168" i="1" s="1"/>
  <c r="G168" i="1" s="1"/>
  <c r="O168" i="1" s="1"/>
  <c r="H168" i="1"/>
  <c r="I168" i="1"/>
  <c r="K168" i="1" a="1"/>
  <c r="K168" i="1" s="1"/>
  <c r="L168" i="1"/>
  <c r="M168" i="1"/>
  <c r="D169" i="1" a="1"/>
  <c r="D169" i="1" s="1"/>
  <c r="E169" i="1"/>
  <c r="F169" i="1" s="1"/>
  <c r="G169" i="1" s="1"/>
  <c r="O169" i="1" s="1"/>
  <c r="H169" i="1"/>
  <c r="I169" i="1"/>
  <c r="K169" i="1" a="1"/>
  <c r="K169" i="1" s="1"/>
  <c r="L169" i="1"/>
  <c r="M169" i="1"/>
  <c r="D170" i="1" a="1"/>
  <c r="D170" i="1" s="1"/>
  <c r="E170" i="1"/>
  <c r="F170" i="1" s="1"/>
  <c r="G170" i="1" s="1"/>
  <c r="O170" i="1" s="1"/>
  <c r="H170" i="1"/>
  <c r="I170" i="1"/>
  <c r="K170" i="1" a="1"/>
  <c r="K170" i="1" s="1"/>
  <c r="L170" i="1"/>
  <c r="M170" i="1"/>
  <c r="D171" i="1" a="1"/>
  <c r="D171" i="1" s="1"/>
  <c r="E171" i="1"/>
  <c r="F171" i="1" s="1"/>
  <c r="G171" i="1" s="1"/>
  <c r="O171" i="1" s="1"/>
  <c r="H171" i="1"/>
  <c r="I171" i="1"/>
  <c r="K171" i="1" a="1"/>
  <c r="K171" i="1" s="1"/>
  <c r="L171" i="1"/>
  <c r="M171" i="1"/>
  <c r="D172" i="1" a="1"/>
  <c r="D172" i="1" s="1"/>
  <c r="E172" i="1"/>
  <c r="F172" i="1" s="1"/>
  <c r="G172" i="1" s="1"/>
  <c r="O172" i="1" s="1"/>
  <c r="H172" i="1"/>
  <c r="I172" i="1"/>
  <c r="K172" i="1" a="1"/>
  <c r="K172" i="1" s="1"/>
  <c r="L172" i="1"/>
  <c r="M172" i="1"/>
  <c r="D173" i="1" a="1"/>
  <c r="D173" i="1" s="1"/>
  <c r="E173" i="1"/>
  <c r="F173" i="1" s="1"/>
  <c r="G173" i="1" s="1"/>
  <c r="O173" i="1" s="1"/>
  <c r="H173" i="1"/>
  <c r="I173" i="1"/>
  <c r="K173" i="1" a="1"/>
  <c r="K173" i="1" s="1"/>
  <c r="L173" i="1"/>
  <c r="M173" i="1"/>
  <c r="D174" i="1" a="1"/>
  <c r="D174" i="1" s="1"/>
  <c r="E174" i="1"/>
  <c r="F174" i="1" s="1"/>
  <c r="G174" i="1" s="1"/>
  <c r="O174" i="1" s="1"/>
  <c r="H174" i="1"/>
  <c r="I174" i="1"/>
  <c r="K174" i="1" a="1"/>
  <c r="K174" i="1" s="1"/>
  <c r="L174" i="1"/>
  <c r="M174" i="1"/>
  <c r="D175" i="1" a="1"/>
  <c r="D175" i="1" s="1"/>
  <c r="E175" i="1"/>
  <c r="F175" i="1" s="1"/>
  <c r="G175" i="1" s="1"/>
  <c r="O175" i="1" s="1"/>
  <c r="H175" i="1"/>
  <c r="I175" i="1"/>
  <c r="K175" i="1" a="1"/>
  <c r="K175" i="1" s="1"/>
  <c r="L175" i="1"/>
  <c r="M175" i="1"/>
  <c r="D176" i="1" a="1"/>
  <c r="D176" i="1" s="1"/>
  <c r="E176" i="1"/>
  <c r="F176" i="1" s="1"/>
  <c r="G176" i="1" s="1"/>
  <c r="O176" i="1" s="1"/>
  <c r="H176" i="1"/>
  <c r="I176" i="1"/>
  <c r="K176" i="1" a="1"/>
  <c r="K176" i="1" s="1"/>
  <c r="L176" i="1"/>
  <c r="M176" i="1"/>
  <c r="D177" i="1" a="1"/>
  <c r="D177" i="1" s="1"/>
  <c r="E177" i="1"/>
  <c r="F177" i="1" s="1"/>
  <c r="G177" i="1" s="1"/>
  <c r="O177" i="1" s="1"/>
  <c r="H177" i="1"/>
  <c r="I177" i="1"/>
  <c r="K177" i="1" a="1"/>
  <c r="K177" i="1" s="1"/>
  <c r="L177" i="1"/>
  <c r="M177" i="1"/>
  <c r="D178" i="1" a="1"/>
  <c r="D178" i="1" s="1"/>
  <c r="E178" i="1"/>
  <c r="F178" i="1" s="1"/>
  <c r="G178" i="1" s="1"/>
  <c r="O178" i="1" s="1"/>
  <c r="H178" i="1"/>
  <c r="I178" i="1"/>
  <c r="K178" i="1" a="1"/>
  <c r="K178" i="1" s="1"/>
  <c r="L178" i="1"/>
  <c r="M178" i="1"/>
  <c r="D179" i="1" a="1"/>
  <c r="D179" i="1" s="1"/>
  <c r="E179" i="1"/>
  <c r="F179" i="1" s="1"/>
  <c r="G179" i="1" s="1"/>
  <c r="O179" i="1" s="1"/>
  <c r="H179" i="1"/>
  <c r="I179" i="1"/>
  <c r="K179" i="1" a="1"/>
  <c r="K179" i="1" s="1"/>
  <c r="L179" i="1"/>
  <c r="M179" i="1"/>
  <c r="D180" i="1" a="1"/>
  <c r="D180" i="1" s="1"/>
  <c r="E180" i="1"/>
  <c r="F180" i="1" s="1"/>
  <c r="G180" i="1" s="1"/>
  <c r="O180" i="1" s="1"/>
  <c r="H180" i="1"/>
  <c r="I180" i="1"/>
  <c r="K180" i="1" a="1"/>
  <c r="K180" i="1" s="1"/>
  <c r="L180" i="1"/>
  <c r="M180" i="1"/>
  <c r="D181" i="1" a="1"/>
  <c r="D181" i="1" s="1"/>
  <c r="E181" i="1"/>
  <c r="F181" i="1" s="1"/>
  <c r="G181" i="1" s="1"/>
  <c r="O181" i="1" s="1"/>
  <c r="H181" i="1"/>
  <c r="I181" i="1"/>
  <c r="K181" i="1" a="1"/>
  <c r="K181" i="1" s="1"/>
  <c r="L181" i="1"/>
  <c r="M181" i="1"/>
  <c r="D182" i="1" a="1"/>
  <c r="D182" i="1" s="1"/>
  <c r="E182" i="1"/>
  <c r="F182" i="1" s="1"/>
  <c r="G182" i="1" s="1"/>
  <c r="O182" i="1" s="1"/>
  <c r="H182" i="1"/>
  <c r="I182" i="1"/>
  <c r="K182" i="1" a="1"/>
  <c r="K182" i="1" s="1"/>
  <c r="L182" i="1"/>
  <c r="M182" i="1"/>
  <c r="D183" i="1" a="1"/>
  <c r="D183" i="1" s="1"/>
  <c r="E183" i="1"/>
  <c r="F183" i="1" s="1"/>
  <c r="G183" i="1" s="1"/>
  <c r="O183" i="1" s="1"/>
  <c r="H183" i="1"/>
  <c r="I183" i="1"/>
  <c r="K183" i="1" a="1"/>
  <c r="K183" i="1" s="1"/>
  <c r="L183" i="1"/>
  <c r="M183" i="1"/>
  <c r="D184" i="1" a="1"/>
  <c r="D184" i="1" s="1"/>
  <c r="E184" i="1"/>
  <c r="F184" i="1" s="1"/>
  <c r="G184" i="1" s="1"/>
  <c r="O184" i="1" s="1"/>
  <c r="H184" i="1"/>
  <c r="I184" i="1"/>
  <c r="K184" i="1" a="1"/>
  <c r="K184" i="1" s="1"/>
  <c r="L184" i="1"/>
  <c r="M184" i="1"/>
  <c r="D185" i="1" a="1"/>
  <c r="D185" i="1" s="1"/>
  <c r="E185" i="1"/>
  <c r="F185" i="1" s="1"/>
  <c r="G185" i="1" s="1"/>
  <c r="O185" i="1" s="1"/>
  <c r="H185" i="1"/>
  <c r="I185" i="1"/>
  <c r="K185" i="1" a="1"/>
  <c r="K185" i="1" s="1"/>
  <c r="L185" i="1"/>
  <c r="M185" i="1"/>
  <c r="D186" i="1" a="1"/>
  <c r="D186" i="1" s="1"/>
  <c r="E186" i="1"/>
  <c r="F186" i="1" s="1"/>
  <c r="G186" i="1" s="1"/>
  <c r="O186" i="1" s="1"/>
  <c r="H186" i="1"/>
  <c r="I186" i="1"/>
  <c r="K186" i="1" a="1"/>
  <c r="K186" i="1" s="1"/>
  <c r="L186" i="1"/>
  <c r="M186" i="1"/>
  <c r="D187" i="1" a="1"/>
  <c r="D187" i="1" s="1"/>
  <c r="E187" i="1"/>
  <c r="F187" i="1" s="1"/>
  <c r="G187" i="1" s="1"/>
  <c r="O187" i="1" s="1"/>
  <c r="H187" i="1"/>
  <c r="I187" i="1"/>
  <c r="K187" i="1" a="1"/>
  <c r="K187" i="1" s="1"/>
  <c r="L187" i="1"/>
  <c r="M187" i="1"/>
  <c r="D188" i="1" a="1"/>
  <c r="D188" i="1" s="1"/>
  <c r="E188" i="1"/>
  <c r="F188" i="1" s="1"/>
  <c r="G188" i="1" s="1"/>
  <c r="O188" i="1" s="1"/>
  <c r="H188" i="1"/>
  <c r="I188" i="1"/>
  <c r="K188" i="1" a="1"/>
  <c r="K188" i="1" s="1"/>
  <c r="L188" i="1"/>
  <c r="M188" i="1"/>
  <c r="D189" i="1" a="1"/>
  <c r="D189" i="1" s="1"/>
  <c r="E189" i="1"/>
  <c r="F189" i="1" s="1"/>
  <c r="G189" i="1" s="1"/>
  <c r="O189" i="1" s="1"/>
  <c r="H189" i="1"/>
  <c r="I189" i="1"/>
  <c r="K189" i="1" a="1"/>
  <c r="K189" i="1" s="1"/>
  <c r="L189" i="1"/>
  <c r="M189" i="1"/>
  <c r="D190" i="1" a="1"/>
  <c r="D190" i="1" s="1"/>
  <c r="E190" i="1"/>
  <c r="F190" i="1" s="1"/>
  <c r="G190" i="1" s="1"/>
  <c r="O190" i="1" s="1"/>
  <c r="H190" i="1"/>
  <c r="I190" i="1"/>
  <c r="K190" i="1" a="1"/>
  <c r="K190" i="1" s="1"/>
  <c r="L190" i="1"/>
  <c r="M190" i="1"/>
  <c r="D191" i="1" a="1"/>
  <c r="D191" i="1" s="1"/>
  <c r="E191" i="1"/>
  <c r="F191" i="1" s="1"/>
  <c r="G191" i="1" s="1"/>
  <c r="O191" i="1" s="1"/>
  <c r="H191" i="1"/>
  <c r="I191" i="1"/>
  <c r="K191" i="1" a="1"/>
  <c r="K191" i="1" s="1"/>
  <c r="L191" i="1"/>
  <c r="M191" i="1"/>
  <c r="D192" i="1" a="1"/>
  <c r="D192" i="1" s="1"/>
  <c r="E192" i="1"/>
  <c r="F192" i="1" s="1"/>
  <c r="G192" i="1" s="1"/>
  <c r="O192" i="1" s="1"/>
  <c r="H192" i="1"/>
  <c r="I192" i="1"/>
  <c r="K192" i="1" a="1"/>
  <c r="K192" i="1" s="1"/>
  <c r="L192" i="1"/>
  <c r="M192" i="1"/>
  <c r="D193" i="1" a="1"/>
  <c r="D193" i="1" s="1"/>
  <c r="E193" i="1"/>
  <c r="F193" i="1" s="1"/>
  <c r="G193" i="1" s="1"/>
  <c r="O193" i="1" s="1"/>
  <c r="H193" i="1"/>
  <c r="I193" i="1"/>
  <c r="K193" i="1" a="1"/>
  <c r="K193" i="1" s="1"/>
  <c r="L193" i="1"/>
  <c r="M193" i="1"/>
  <c r="D194" i="1" a="1"/>
  <c r="D194" i="1" s="1"/>
  <c r="E194" i="1"/>
  <c r="F194" i="1" s="1"/>
  <c r="G194" i="1" s="1"/>
  <c r="O194" i="1" s="1"/>
  <c r="H194" i="1"/>
  <c r="I194" i="1"/>
  <c r="K194" i="1" a="1"/>
  <c r="K194" i="1" s="1"/>
  <c r="L194" i="1"/>
  <c r="M194" i="1"/>
  <c r="D195" i="1" a="1"/>
  <c r="D195" i="1" s="1"/>
  <c r="E195" i="1"/>
  <c r="F195" i="1" s="1"/>
  <c r="G195" i="1" s="1"/>
  <c r="O195" i="1" s="1"/>
  <c r="H195" i="1"/>
  <c r="I195" i="1"/>
  <c r="K195" i="1" a="1"/>
  <c r="K195" i="1" s="1"/>
  <c r="L195" i="1"/>
  <c r="M195" i="1"/>
  <c r="D196" i="1" a="1"/>
  <c r="D196" i="1" s="1"/>
  <c r="E196" i="1"/>
  <c r="F196" i="1" s="1"/>
  <c r="G196" i="1" s="1"/>
  <c r="O196" i="1" s="1"/>
  <c r="H196" i="1"/>
  <c r="I196" i="1"/>
  <c r="K196" i="1" a="1"/>
  <c r="K196" i="1" s="1"/>
  <c r="L196" i="1"/>
  <c r="M196" i="1"/>
  <c r="D197" i="1" a="1"/>
  <c r="D197" i="1" s="1"/>
  <c r="E197" i="1"/>
  <c r="F197" i="1" s="1"/>
  <c r="G197" i="1" s="1"/>
  <c r="O197" i="1" s="1"/>
  <c r="H197" i="1"/>
  <c r="I197" i="1"/>
  <c r="K197" i="1" a="1"/>
  <c r="K197" i="1" s="1"/>
  <c r="L197" i="1"/>
  <c r="M197" i="1"/>
  <c r="D198" i="1" a="1"/>
  <c r="D198" i="1" s="1"/>
  <c r="E198" i="1"/>
  <c r="F198" i="1" s="1"/>
  <c r="G198" i="1" s="1"/>
  <c r="O198" i="1" s="1"/>
  <c r="H198" i="1"/>
  <c r="I198" i="1"/>
  <c r="K198" i="1" a="1"/>
  <c r="K198" i="1" s="1"/>
  <c r="L198" i="1"/>
  <c r="M198" i="1"/>
  <c r="D199" i="1" a="1"/>
  <c r="D199" i="1" s="1"/>
  <c r="E199" i="1"/>
  <c r="F199" i="1" s="1"/>
  <c r="G199" i="1" s="1"/>
  <c r="O199" i="1" s="1"/>
  <c r="H199" i="1"/>
  <c r="I199" i="1"/>
  <c r="K199" i="1" a="1"/>
  <c r="K199" i="1" s="1"/>
  <c r="L199" i="1"/>
  <c r="M199" i="1"/>
  <c r="D200" i="1" a="1"/>
  <c r="D200" i="1" s="1"/>
  <c r="E200" i="1"/>
  <c r="F200" i="1" s="1"/>
  <c r="G200" i="1" s="1"/>
  <c r="O200" i="1" s="1"/>
  <c r="H200" i="1"/>
  <c r="I200" i="1"/>
  <c r="K200" i="1" a="1"/>
  <c r="K200" i="1" s="1"/>
  <c r="L200" i="1"/>
  <c r="M200" i="1"/>
  <c r="D201" i="1" a="1"/>
  <c r="D201" i="1" s="1"/>
  <c r="E201" i="1"/>
  <c r="F201" i="1" s="1"/>
  <c r="G201" i="1" s="1"/>
  <c r="O201" i="1" s="1"/>
  <c r="H201" i="1"/>
  <c r="I201" i="1"/>
  <c r="K201" i="1" a="1"/>
  <c r="K201" i="1" s="1"/>
  <c r="L201" i="1"/>
  <c r="M201" i="1"/>
  <c r="D3" i="1" a="1"/>
  <c r="D3" i="1" s="1"/>
  <c r="E3" i="1"/>
  <c r="F3" i="1" s="1"/>
  <c r="G3" i="1" s="1"/>
  <c r="O3" i="1" s="1"/>
  <c r="H3" i="1"/>
  <c r="I3" i="1"/>
  <c r="K3" i="1" a="1"/>
  <c r="K3" i="1" s="1"/>
  <c r="L3" i="1"/>
  <c r="M3" i="1"/>
  <c r="D4" i="1" a="1"/>
  <c r="D4" i="1" s="1"/>
  <c r="E4" i="1"/>
  <c r="F4" i="1" s="1"/>
  <c r="G4" i="1" s="1"/>
  <c r="O4" i="1" s="1"/>
  <c r="H4" i="1"/>
  <c r="I4" i="1"/>
  <c r="K4" i="1" a="1"/>
  <c r="K4" i="1" s="1"/>
  <c r="L4" i="1"/>
  <c r="M4" i="1"/>
  <c r="D5" i="1" a="1"/>
  <c r="D5" i="1" s="1"/>
  <c r="E5" i="1"/>
  <c r="F5" i="1" s="1"/>
  <c r="G5" i="1" s="1"/>
  <c r="O5" i="1" s="1"/>
  <c r="H5" i="1"/>
  <c r="I5" i="1"/>
  <c r="K5" i="1" a="1"/>
  <c r="K5" i="1" s="1"/>
  <c r="L5" i="1"/>
  <c r="M5" i="1"/>
  <c r="D6" i="1" a="1"/>
  <c r="D6" i="1" s="1"/>
  <c r="E6" i="1"/>
  <c r="F6" i="1" s="1"/>
  <c r="G6" i="1" s="1"/>
  <c r="O6" i="1" s="1"/>
  <c r="H6" i="1"/>
  <c r="I6" i="1"/>
  <c r="K6" i="1" a="1"/>
  <c r="K6" i="1" s="1"/>
  <c r="L6" i="1"/>
  <c r="M6" i="1"/>
  <c r="D7" i="1" a="1"/>
  <c r="D7" i="1" s="1"/>
  <c r="E7" i="1"/>
  <c r="F7" i="1" s="1"/>
  <c r="G7" i="1" s="1"/>
  <c r="O7" i="1" s="1"/>
  <c r="H7" i="1"/>
  <c r="I7" i="1"/>
  <c r="K7" i="1" a="1"/>
  <c r="K7" i="1" s="1"/>
  <c r="L7" i="1"/>
  <c r="M7" i="1"/>
  <c r="D8" i="1" a="1"/>
  <c r="D8" i="1" s="1"/>
  <c r="E8" i="1"/>
  <c r="F8" i="1" s="1"/>
  <c r="G8" i="1" s="1"/>
  <c r="O8" i="1" s="1"/>
  <c r="H8" i="1"/>
  <c r="I8" i="1"/>
  <c r="K8" i="1" a="1"/>
  <c r="K8" i="1" s="1"/>
  <c r="L8" i="1"/>
  <c r="M8" i="1"/>
  <c r="D9" i="1" a="1"/>
  <c r="D9" i="1" s="1"/>
  <c r="E9" i="1"/>
  <c r="F9" i="1" s="1"/>
  <c r="G9" i="1" s="1"/>
  <c r="O9" i="1" s="1"/>
  <c r="H9" i="1"/>
  <c r="I9" i="1"/>
  <c r="K9" i="1" a="1"/>
  <c r="K9" i="1" s="1"/>
  <c r="L9" i="1"/>
  <c r="M9" i="1"/>
  <c r="D10" i="1" a="1"/>
  <c r="D10" i="1" s="1"/>
  <c r="E10" i="1"/>
  <c r="F10" i="1" s="1"/>
  <c r="G10" i="1" s="1"/>
  <c r="O10" i="1" s="1"/>
  <c r="H10" i="1"/>
  <c r="I10" i="1"/>
  <c r="K10" i="1" a="1"/>
  <c r="K10" i="1" s="1"/>
  <c r="L10" i="1"/>
  <c r="M10" i="1"/>
  <c r="D11" i="1" a="1"/>
  <c r="D11" i="1" s="1"/>
  <c r="E11" i="1"/>
  <c r="F11" i="1" s="1"/>
  <c r="G11" i="1" s="1"/>
  <c r="O11" i="1" s="1"/>
  <c r="H11" i="1"/>
  <c r="I11" i="1"/>
  <c r="K11" i="1" a="1"/>
  <c r="K11" i="1" s="1"/>
  <c r="L11" i="1"/>
  <c r="M11" i="1"/>
  <c r="D12" i="1" a="1"/>
  <c r="D12" i="1" s="1"/>
  <c r="E12" i="1"/>
  <c r="F12" i="1" s="1"/>
  <c r="G12" i="1" s="1"/>
  <c r="O12" i="1" s="1"/>
  <c r="H12" i="1"/>
  <c r="I12" i="1"/>
  <c r="K12" i="1" a="1"/>
  <c r="K12" i="1" s="1"/>
  <c r="L12" i="1"/>
  <c r="M12" i="1"/>
  <c r="D13" i="1" a="1"/>
  <c r="D13" i="1" s="1"/>
  <c r="E13" i="1"/>
  <c r="F13" i="1" s="1"/>
  <c r="G13" i="1" s="1"/>
  <c r="O13" i="1" s="1"/>
  <c r="H13" i="1"/>
  <c r="I13" i="1"/>
  <c r="K13" i="1" a="1"/>
  <c r="K13" i="1" s="1"/>
  <c r="L13" i="1"/>
  <c r="M13" i="1"/>
  <c r="D14" i="1" a="1"/>
  <c r="D14" i="1" s="1"/>
  <c r="E14" i="1"/>
  <c r="F14" i="1" s="1"/>
  <c r="G14" i="1" s="1"/>
  <c r="O14" i="1" s="1"/>
  <c r="H14" i="1"/>
  <c r="I14" i="1"/>
  <c r="K14" i="1" a="1"/>
  <c r="K14" i="1" s="1"/>
  <c r="L14" i="1"/>
  <c r="M14" i="1"/>
  <c r="D15" i="1" a="1"/>
  <c r="D15" i="1" s="1"/>
  <c r="E15" i="1"/>
  <c r="F15" i="1" s="1"/>
  <c r="G15" i="1" s="1"/>
  <c r="O15" i="1" s="1"/>
  <c r="H15" i="1"/>
  <c r="I15" i="1"/>
  <c r="K15" i="1" a="1"/>
  <c r="K15" i="1" s="1"/>
  <c r="L15" i="1"/>
  <c r="M15" i="1"/>
  <c r="D16" i="1" a="1"/>
  <c r="D16" i="1" s="1"/>
  <c r="E16" i="1"/>
  <c r="F16" i="1" s="1"/>
  <c r="G16" i="1" s="1"/>
  <c r="O16" i="1" s="1"/>
  <c r="H16" i="1"/>
  <c r="I16" i="1"/>
  <c r="K16" i="1" a="1"/>
  <c r="K16" i="1" s="1"/>
  <c r="L16" i="1"/>
  <c r="M16" i="1"/>
  <c r="D17" i="1" a="1"/>
  <c r="D17" i="1" s="1"/>
  <c r="E17" i="1"/>
  <c r="F17" i="1" s="1"/>
  <c r="G17" i="1" s="1"/>
  <c r="O17" i="1" s="1"/>
  <c r="H17" i="1"/>
  <c r="I17" i="1"/>
  <c r="K17" i="1" a="1"/>
  <c r="K17" i="1" s="1"/>
  <c r="L17" i="1"/>
  <c r="M17" i="1"/>
  <c r="D18" i="1" a="1"/>
  <c r="D18" i="1" s="1"/>
  <c r="E18" i="1"/>
  <c r="F18" i="1" s="1"/>
  <c r="G18" i="1" s="1"/>
  <c r="O18" i="1" s="1"/>
  <c r="H18" i="1"/>
  <c r="I18" i="1"/>
  <c r="K18" i="1" a="1"/>
  <c r="K18" i="1" s="1"/>
  <c r="L18" i="1"/>
  <c r="M18" i="1"/>
  <c r="D19" i="1" a="1"/>
  <c r="D19" i="1" s="1"/>
  <c r="E19" i="1"/>
  <c r="F19" i="1" s="1"/>
  <c r="G19" i="1" s="1"/>
  <c r="O19" i="1" s="1"/>
  <c r="H19" i="1"/>
  <c r="I19" i="1"/>
  <c r="K19" i="1" a="1"/>
  <c r="K19" i="1" s="1"/>
  <c r="L19" i="1"/>
  <c r="M19" i="1"/>
  <c r="D20" i="1" a="1"/>
  <c r="D20" i="1" s="1"/>
  <c r="E20" i="1"/>
  <c r="F20" i="1" s="1"/>
  <c r="G20" i="1" s="1"/>
  <c r="O20" i="1" s="1"/>
  <c r="H20" i="1"/>
  <c r="I20" i="1"/>
  <c r="K20" i="1" a="1"/>
  <c r="K20" i="1" s="1"/>
  <c r="L20" i="1"/>
  <c r="M20" i="1"/>
  <c r="D21" i="1" a="1"/>
  <c r="D21" i="1" s="1"/>
  <c r="E21" i="1"/>
  <c r="F21" i="1" s="1"/>
  <c r="G21" i="1" s="1"/>
  <c r="O21" i="1" s="1"/>
  <c r="H21" i="1"/>
  <c r="I21" i="1"/>
  <c r="K21" i="1" a="1"/>
  <c r="K21" i="1" s="1"/>
  <c r="L21" i="1"/>
  <c r="M21" i="1"/>
  <c r="D22" i="1" a="1"/>
  <c r="D22" i="1" s="1"/>
  <c r="E22" i="1"/>
  <c r="F22" i="1" s="1"/>
  <c r="G22" i="1" s="1"/>
  <c r="O22" i="1" s="1"/>
  <c r="H22" i="1"/>
  <c r="I22" i="1"/>
  <c r="K22" i="1" a="1"/>
  <c r="K22" i="1" s="1"/>
  <c r="L22" i="1"/>
  <c r="M22" i="1"/>
  <c r="D23" i="1" a="1"/>
  <c r="D23" i="1" s="1"/>
  <c r="E23" i="1"/>
  <c r="F23" i="1" s="1"/>
  <c r="G23" i="1" s="1"/>
  <c r="O23" i="1" s="1"/>
  <c r="H23" i="1"/>
  <c r="I23" i="1"/>
  <c r="K23" i="1" a="1"/>
  <c r="K23" i="1" s="1"/>
  <c r="L23" i="1"/>
  <c r="M23" i="1"/>
  <c r="D24" i="1" a="1"/>
  <c r="D24" i="1" s="1"/>
  <c r="E24" i="1"/>
  <c r="F24" i="1" s="1"/>
  <c r="G24" i="1" s="1"/>
  <c r="O24" i="1" s="1"/>
  <c r="H24" i="1"/>
  <c r="I24" i="1"/>
  <c r="K24" i="1" a="1"/>
  <c r="K24" i="1" s="1"/>
  <c r="L24" i="1"/>
  <c r="M24" i="1"/>
  <c r="D25" i="1" a="1"/>
  <c r="D25" i="1" s="1"/>
  <c r="E25" i="1"/>
  <c r="F25" i="1" s="1"/>
  <c r="G25" i="1" s="1"/>
  <c r="O25" i="1" s="1"/>
  <c r="H25" i="1"/>
  <c r="I25" i="1"/>
  <c r="K25" i="1" a="1"/>
  <c r="K25" i="1" s="1"/>
  <c r="L25" i="1"/>
  <c r="M25" i="1"/>
  <c r="D26" i="1" a="1"/>
  <c r="D26" i="1" s="1"/>
  <c r="E26" i="1"/>
  <c r="F26" i="1" s="1"/>
  <c r="G26" i="1" s="1"/>
  <c r="O26" i="1" s="1"/>
  <c r="H26" i="1"/>
  <c r="I26" i="1"/>
  <c r="K26" i="1" a="1"/>
  <c r="K26" i="1" s="1"/>
  <c r="L26" i="1"/>
  <c r="M26" i="1"/>
  <c r="D27" i="1" a="1"/>
  <c r="D27" i="1" s="1"/>
  <c r="E27" i="1"/>
  <c r="F27" i="1" s="1"/>
  <c r="G27" i="1" s="1"/>
  <c r="O27" i="1" s="1"/>
  <c r="H27" i="1"/>
  <c r="I27" i="1"/>
  <c r="K27" i="1" a="1"/>
  <c r="K27" i="1" s="1"/>
  <c r="L27" i="1"/>
  <c r="M27" i="1"/>
  <c r="D28" i="1" a="1"/>
  <c r="D28" i="1" s="1"/>
  <c r="E28" i="1"/>
  <c r="F28" i="1" s="1"/>
  <c r="G28" i="1" s="1"/>
  <c r="O28" i="1" s="1"/>
  <c r="H28" i="1"/>
  <c r="I28" i="1"/>
  <c r="K28" i="1" a="1"/>
  <c r="K28" i="1" s="1"/>
  <c r="L28" i="1"/>
  <c r="M28" i="1"/>
  <c r="D29" i="1" a="1"/>
  <c r="D29" i="1" s="1"/>
  <c r="E29" i="1"/>
  <c r="F29" i="1" s="1"/>
  <c r="G29" i="1" s="1"/>
  <c r="O29" i="1" s="1"/>
  <c r="H29" i="1"/>
  <c r="I29" i="1"/>
  <c r="K29" i="1" a="1"/>
  <c r="K29" i="1" s="1"/>
  <c r="L29" i="1"/>
  <c r="M29" i="1"/>
  <c r="D30" i="1" a="1"/>
  <c r="D30" i="1" s="1"/>
  <c r="E30" i="1"/>
  <c r="F30" i="1" s="1"/>
  <c r="G30" i="1" s="1"/>
  <c r="O30" i="1" s="1"/>
  <c r="H30" i="1"/>
  <c r="I30" i="1"/>
  <c r="K30" i="1" a="1"/>
  <c r="K30" i="1" s="1"/>
  <c r="L30" i="1"/>
  <c r="M30" i="1"/>
  <c r="D31" i="1" a="1"/>
  <c r="D31" i="1" s="1"/>
  <c r="E31" i="1"/>
  <c r="F31" i="1" s="1"/>
  <c r="G31" i="1" s="1"/>
  <c r="O31" i="1" s="1"/>
  <c r="H31" i="1"/>
  <c r="I31" i="1"/>
  <c r="K31" i="1" a="1"/>
  <c r="K31" i="1" s="1"/>
  <c r="L31" i="1"/>
  <c r="M31" i="1"/>
  <c r="D32" i="1" a="1"/>
  <c r="D32" i="1" s="1"/>
  <c r="E32" i="1"/>
  <c r="F32" i="1" s="1"/>
  <c r="G32" i="1" s="1"/>
  <c r="O32" i="1" s="1"/>
  <c r="H32" i="1"/>
  <c r="I32" i="1"/>
  <c r="K32" i="1" a="1"/>
  <c r="K32" i="1" s="1"/>
  <c r="L32" i="1"/>
  <c r="M32" i="1"/>
  <c r="B3" i="1" a="1"/>
  <c r="B3" i="1" s="1"/>
  <c r="C3" i="1" s="1"/>
  <c r="B4" i="1" a="1"/>
  <c r="B4" i="1" s="1"/>
  <c r="C4" i="1" s="1"/>
  <c r="B5" i="1" a="1"/>
  <c r="B5" i="1" s="1"/>
  <c r="C5" i="1" s="1"/>
  <c r="B6" i="1" a="1"/>
  <c r="B6" i="1" s="1"/>
  <c r="C6" i="1" s="1"/>
  <c r="B7" i="1" a="1"/>
  <c r="B7" i="1" s="1"/>
  <c r="C7" i="1" s="1"/>
  <c r="B8" i="1" a="1"/>
  <c r="B8" i="1" s="1"/>
  <c r="C8" i="1" s="1"/>
  <c r="B9" i="1" a="1"/>
  <c r="B9" i="1" s="1"/>
  <c r="C9" i="1" s="1"/>
  <c r="B10" i="1" a="1"/>
  <c r="B10" i="1" s="1"/>
  <c r="C10" i="1" s="1"/>
  <c r="B11" i="1" a="1"/>
  <c r="B11" i="1" s="1"/>
  <c r="C11" i="1" s="1"/>
  <c r="B12" i="1" a="1"/>
  <c r="B12" i="1" s="1"/>
  <c r="C12" i="1" s="1"/>
  <c r="B13" i="1" a="1"/>
  <c r="B13" i="1" s="1"/>
  <c r="C13" i="1" s="1"/>
  <c r="B14" i="1" a="1"/>
  <c r="B14" i="1" s="1"/>
  <c r="C14" i="1" s="1"/>
  <c r="B15" i="1" a="1"/>
  <c r="B15" i="1" s="1"/>
  <c r="C15" i="1" s="1"/>
  <c r="B16" i="1" a="1"/>
  <c r="B16" i="1" s="1"/>
  <c r="C16" i="1" s="1"/>
  <c r="B17" i="1" a="1"/>
  <c r="B17" i="1" s="1"/>
  <c r="C17" i="1" s="1"/>
  <c r="B18" i="1" a="1"/>
  <c r="B18" i="1" s="1"/>
  <c r="C18" i="1" s="1"/>
  <c r="B19" i="1" a="1"/>
  <c r="B19" i="1" s="1"/>
  <c r="C19" i="1" s="1"/>
  <c r="B20" i="1" a="1"/>
  <c r="B20" i="1" s="1"/>
  <c r="C20" i="1" s="1"/>
  <c r="B21" i="1" a="1"/>
  <c r="B21" i="1" s="1"/>
  <c r="C21" i="1" s="1"/>
  <c r="B22" i="1" a="1"/>
  <c r="B22" i="1" s="1"/>
  <c r="C22" i="1" s="1"/>
  <c r="B23" i="1" a="1"/>
  <c r="B23" i="1" s="1"/>
  <c r="C23" i="1" s="1"/>
  <c r="B24" i="1" a="1"/>
  <c r="B24" i="1" s="1"/>
  <c r="C24" i="1" s="1"/>
  <c r="B25" i="1" a="1"/>
  <c r="B25" i="1" s="1"/>
  <c r="C25" i="1" s="1"/>
  <c r="B26" i="1" a="1"/>
  <c r="B26" i="1" s="1"/>
  <c r="C26" i="1" s="1"/>
  <c r="B27" i="1" a="1"/>
  <c r="B27" i="1" s="1"/>
  <c r="C27" i="1" s="1"/>
  <c r="B28" i="1" a="1"/>
  <c r="B28" i="1" s="1"/>
  <c r="C28" i="1" s="1"/>
  <c r="B29" i="1" a="1"/>
  <c r="B29" i="1" s="1"/>
  <c r="C29" i="1" s="1"/>
  <c r="B30" i="1" a="1"/>
  <c r="B30" i="1" s="1"/>
  <c r="C30" i="1" s="1"/>
  <c r="B31" i="1" a="1"/>
  <c r="B31" i="1" s="1"/>
  <c r="C31" i="1" s="1"/>
  <c r="B32" i="1" a="1"/>
  <c r="B32" i="1" s="1"/>
  <c r="C32" i="1" s="1"/>
  <c r="B33" i="1" a="1"/>
  <c r="B33" i="1" s="1"/>
  <c r="C33" i="1" s="1"/>
  <c r="B34" i="1" a="1"/>
  <c r="B34" i="1" s="1"/>
  <c r="C34" i="1" s="1"/>
  <c r="B35" i="1" a="1"/>
  <c r="B35" i="1" s="1"/>
  <c r="C35" i="1" s="1"/>
  <c r="B36" i="1" a="1"/>
  <c r="B36" i="1" s="1"/>
  <c r="C36" i="1" s="1"/>
  <c r="B37" i="1" a="1"/>
  <c r="B37" i="1" s="1"/>
  <c r="C37" i="1" s="1"/>
  <c r="B38" i="1" a="1"/>
  <c r="B38" i="1" s="1"/>
  <c r="C38" i="1" s="1"/>
  <c r="B39" i="1" a="1"/>
  <c r="B39" i="1" s="1"/>
  <c r="C39" i="1" s="1"/>
  <c r="B40" i="1" a="1"/>
  <c r="B40" i="1" s="1"/>
  <c r="C40" i="1" s="1"/>
  <c r="B41" i="1" a="1"/>
  <c r="B41" i="1" s="1"/>
  <c r="C41" i="1" s="1"/>
  <c r="B42" i="1" a="1"/>
  <c r="B42" i="1" s="1"/>
  <c r="C42" i="1" s="1"/>
  <c r="B43" i="1" a="1"/>
  <c r="B43" i="1" s="1"/>
  <c r="C43" i="1" s="1"/>
  <c r="B44" i="1" a="1"/>
  <c r="B44" i="1" s="1"/>
  <c r="C44" i="1" s="1"/>
  <c r="B45" i="1" a="1"/>
  <c r="B45" i="1" s="1"/>
  <c r="C45" i="1" s="1"/>
  <c r="B46" i="1" a="1"/>
  <c r="B46" i="1" s="1"/>
  <c r="C46" i="1" s="1"/>
  <c r="B47" i="1" a="1"/>
  <c r="B47" i="1" s="1"/>
  <c r="C47" i="1" s="1"/>
  <c r="B48" i="1" a="1"/>
  <c r="B48" i="1" s="1"/>
  <c r="C48" i="1" s="1"/>
  <c r="B49" i="1" a="1"/>
  <c r="B49" i="1" s="1"/>
  <c r="C49" i="1" s="1"/>
  <c r="B50" i="1" a="1"/>
  <c r="B50" i="1" s="1"/>
  <c r="C50" i="1" s="1"/>
  <c r="B51" i="1" a="1"/>
  <c r="B51" i="1" s="1"/>
  <c r="C51" i="1" s="1"/>
  <c r="B52" i="1" a="1"/>
  <c r="B52" i="1" s="1"/>
  <c r="C52" i="1" s="1"/>
  <c r="B53" i="1" a="1"/>
  <c r="B53" i="1" s="1"/>
  <c r="C53" i="1" s="1"/>
  <c r="B54" i="1" a="1"/>
  <c r="B54" i="1" s="1"/>
  <c r="C54" i="1" s="1"/>
  <c r="B55" i="1" a="1"/>
  <c r="B55" i="1" s="1"/>
  <c r="C55" i="1" s="1"/>
  <c r="B56" i="1" a="1"/>
  <c r="B56" i="1" s="1"/>
  <c r="C56" i="1" s="1"/>
  <c r="B57" i="1" a="1"/>
  <c r="B57" i="1" s="1"/>
  <c r="C57" i="1" s="1"/>
  <c r="B58" i="1" a="1"/>
  <c r="B58" i="1" s="1"/>
  <c r="C58" i="1" s="1"/>
  <c r="B59" i="1" a="1"/>
  <c r="B59" i="1" s="1"/>
  <c r="C59" i="1" s="1"/>
  <c r="B60" i="1" a="1"/>
  <c r="B60" i="1" s="1"/>
  <c r="C60" i="1" s="1"/>
  <c r="B61" i="1" a="1"/>
  <c r="B61" i="1" s="1"/>
  <c r="C61" i="1" s="1"/>
  <c r="B62" i="1" a="1"/>
  <c r="B62" i="1" s="1"/>
  <c r="C62" i="1" s="1"/>
  <c r="B63" i="1" a="1"/>
  <c r="B63" i="1" s="1"/>
  <c r="C63" i="1" s="1"/>
  <c r="B64" i="1" a="1"/>
  <c r="B64" i="1" s="1"/>
  <c r="C64" i="1" s="1"/>
  <c r="B65" i="1" a="1"/>
  <c r="B65" i="1" s="1"/>
  <c r="C65" i="1" s="1"/>
  <c r="B66" i="1" a="1"/>
  <c r="B66" i="1" s="1"/>
  <c r="C66" i="1" s="1"/>
  <c r="B67" i="1" a="1"/>
  <c r="B67" i="1" s="1"/>
  <c r="C67" i="1" s="1"/>
  <c r="B68" i="1" a="1"/>
  <c r="B68" i="1" s="1"/>
  <c r="C68" i="1" s="1"/>
  <c r="B69" i="1" a="1"/>
  <c r="B69" i="1" s="1"/>
  <c r="C69" i="1" s="1"/>
  <c r="B70" i="1" a="1"/>
  <c r="B70" i="1" s="1"/>
  <c r="C70" i="1" s="1"/>
  <c r="B71" i="1" a="1"/>
  <c r="B71" i="1" s="1"/>
  <c r="C71" i="1" s="1"/>
  <c r="B72" i="1" a="1"/>
  <c r="B72" i="1" s="1"/>
  <c r="C72" i="1" s="1"/>
  <c r="B73" i="1" a="1"/>
  <c r="B73" i="1" s="1"/>
  <c r="C73" i="1" s="1"/>
  <c r="B74" i="1" a="1"/>
  <c r="B74" i="1" s="1"/>
  <c r="C74" i="1" s="1"/>
  <c r="B75" i="1" a="1"/>
  <c r="B75" i="1" s="1"/>
  <c r="C75" i="1" s="1"/>
  <c r="B76" i="1" a="1"/>
  <c r="B76" i="1" s="1"/>
  <c r="C76" i="1" s="1"/>
  <c r="B77" i="1" a="1"/>
  <c r="B77" i="1" s="1"/>
  <c r="C77" i="1" s="1"/>
  <c r="B78" i="1" a="1"/>
  <c r="B78" i="1" s="1"/>
  <c r="C78" i="1" s="1"/>
  <c r="B79" i="1" a="1"/>
  <c r="B79" i="1" s="1"/>
  <c r="C79" i="1" s="1"/>
  <c r="B80" i="1" a="1"/>
  <c r="B80" i="1" s="1"/>
  <c r="C80" i="1" s="1"/>
  <c r="B81" i="1" a="1"/>
  <c r="B81" i="1" s="1"/>
  <c r="C81" i="1" s="1"/>
  <c r="B82" i="1" a="1"/>
  <c r="B82" i="1" s="1"/>
  <c r="C82" i="1" s="1"/>
  <c r="B83" i="1" a="1"/>
  <c r="B83" i="1" s="1"/>
  <c r="C83" i="1" s="1"/>
  <c r="B84" i="1" a="1"/>
  <c r="B84" i="1" s="1"/>
  <c r="C84" i="1" s="1"/>
  <c r="B85" i="1" a="1"/>
  <c r="B85" i="1" s="1"/>
  <c r="C85" i="1" s="1"/>
  <c r="B86" i="1" a="1"/>
  <c r="B86" i="1" s="1"/>
  <c r="C86" i="1" s="1"/>
  <c r="B87" i="1" a="1"/>
  <c r="B87" i="1" s="1"/>
  <c r="C87" i="1" s="1"/>
  <c r="B88" i="1" a="1"/>
  <c r="B88" i="1" s="1"/>
  <c r="C88" i="1" s="1"/>
  <c r="B89" i="1" a="1"/>
  <c r="B89" i="1" s="1"/>
  <c r="C89" i="1" s="1"/>
  <c r="B90" i="1" a="1"/>
  <c r="B90" i="1" s="1"/>
  <c r="C90" i="1" s="1"/>
  <c r="B91" i="1" a="1"/>
  <c r="B91" i="1" s="1"/>
  <c r="C91" i="1" s="1"/>
  <c r="B92" i="1" a="1"/>
  <c r="B92" i="1" s="1"/>
  <c r="C92" i="1" s="1"/>
  <c r="B93" i="1" a="1"/>
  <c r="B93" i="1" s="1"/>
  <c r="C93" i="1" s="1"/>
  <c r="B94" i="1" a="1"/>
  <c r="B94" i="1" s="1"/>
  <c r="C94" i="1" s="1"/>
  <c r="B95" i="1" a="1"/>
  <c r="B95" i="1" s="1"/>
  <c r="C95" i="1" s="1"/>
  <c r="B96" i="1" a="1"/>
  <c r="B96" i="1" s="1"/>
  <c r="C96" i="1" s="1"/>
  <c r="B97" i="1" a="1"/>
  <c r="B97" i="1" s="1"/>
  <c r="C97" i="1" s="1"/>
  <c r="B98" i="1" a="1"/>
  <c r="B98" i="1" s="1"/>
  <c r="C98" i="1" s="1"/>
  <c r="B99" i="1" a="1"/>
  <c r="B99" i="1" s="1"/>
  <c r="C99" i="1" s="1"/>
  <c r="B100" i="1" a="1"/>
  <c r="B100" i="1" s="1"/>
  <c r="C100" i="1" s="1"/>
  <c r="B101" i="1" a="1"/>
  <c r="B101" i="1" s="1"/>
  <c r="C101" i="1" s="1"/>
  <c r="B102" i="1" a="1"/>
  <c r="B102" i="1" s="1"/>
  <c r="C102" i="1" s="1"/>
  <c r="B103" i="1" a="1"/>
  <c r="B103" i="1" s="1"/>
  <c r="C103" i="1" s="1"/>
  <c r="B104" i="1" a="1"/>
  <c r="B104" i="1" s="1"/>
  <c r="C104" i="1" s="1"/>
  <c r="B105" i="1" a="1"/>
  <c r="B105" i="1" s="1"/>
  <c r="C105" i="1" s="1"/>
  <c r="B106" i="1" a="1"/>
  <c r="B106" i="1" s="1"/>
  <c r="C106" i="1" s="1"/>
  <c r="B107" i="1" a="1"/>
  <c r="B107" i="1" s="1"/>
  <c r="C107" i="1" s="1"/>
  <c r="B108" i="1" a="1"/>
  <c r="B108" i="1" s="1"/>
  <c r="C108" i="1" s="1"/>
  <c r="B109" i="1" a="1"/>
  <c r="B109" i="1" s="1"/>
  <c r="C109" i="1" s="1"/>
  <c r="B110" i="1" a="1"/>
  <c r="B110" i="1" s="1"/>
  <c r="C110" i="1" s="1"/>
  <c r="B111" i="1" a="1"/>
  <c r="B111" i="1" s="1"/>
  <c r="C111" i="1" s="1"/>
  <c r="B112" i="1" a="1"/>
  <c r="B112" i="1" s="1"/>
  <c r="C112" i="1" s="1"/>
  <c r="B113" i="1" a="1"/>
  <c r="B113" i="1" s="1"/>
  <c r="C113" i="1" s="1"/>
  <c r="B114" i="1" a="1"/>
  <c r="B114" i="1" s="1"/>
  <c r="C114" i="1" s="1"/>
  <c r="B115" i="1" a="1"/>
  <c r="B115" i="1" s="1"/>
  <c r="C115" i="1" s="1"/>
  <c r="B116" i="1" a="1"/>
  <c r="B116" i="1" s="1"/>
  <c r="C116" i="1" s="1"/>
  <c r="B117" i="1" a="1"/>
  <c r="B117" i="1" s="1"/>
  <c r="C117" i="1" s="1"/>
  <c r="B118" i="1" a="1"/>
  <c r="B118" i="1" s="1"/>
  <c r="C118" i="1" s="1"/>
  <c r="B119" i="1" a="1"/>
  <c r="B119" i="1" s="1"/>
  <c r="C119" i="1" s="1"/>
  <c r="B120" i="1" a="1"/>
  <c r="B120" i="1" s="1"/>
  <c r="C120" i="1" s="1"/>
  <c r="B121" i="1" a="1"/>
  <c r="B121" i="1" s="1"/>
  <c r="C121" i="1" s="1"/>
  <c r="B122" i="1" a="1"/>
  <c r="B122" i="1" s="1"/>
  <c r="C122" i="1" s="1"/>
  <c r="B123" i="1" a="1"/>
  <c r="B123" i="1" s="1"/>
  <c r="C123" i="1" s="1"/>
  <c r="B124" i="1" a="1"/>
  <c r="B124" i="1" s="1"/>
  <c r="C124" i="1" s="1"/>
  <c r="B125" i="1" a="1"/>
  <c r="B125" i="1" s="1"/>
  <c r="C125" i="1" s="1"/>
  <c r="B126" i="1" a="1"/>
  <c r="B126" i="1" s="1"/>
  <c r="C126" i="1" s="1"/>
  <c r="B127" i="1" a="1"/>
  <c r="B127" i="1" s="1"/>
  <c r="C127" i="1" s="1"/>
  <c r="B128" i="1" a="1"/>
  <c r="B128" i="1" s="1"/>
  <c r="C128" i="1" s="1"/>
  <c r="B129" i="1" a="1"/>
  <c r="B129" i="1" s="1"/>
  <c r="C129" i="1" s="1"/>
  <c r="B130" i="1" a="1"/>
  <c r="B130" i="1" s="1"/>
  <c r="C130" i="1" s="1"/>
  <c r="B131" i="1" a="1"/>
  <c r="B131" i="1" s="1"/>
  <c r="C131" i="1" s="1"/>
  <c r="B132" i="1" a="1"/>
  <c r="B132" i="1" s="1"/>
  <c r="C132" i="1" s="1"/>
  <c r="B133" i="1" a="1"/>
  <c r="B133" i="1" s="1"/>
  <c r="C133" i="1" s="1"/>
  <c r="B134" i="1" a="1"/>
  <c r="B134" i="1" s="1"/>
  <c r="C134" i="1" s="1"/>
  <c r="B135" i="1" a="1"/>
  <c r="B135" i="1" s="1"/>
  <c r="C135" i="1" s="1"/>
  <c r="B136" i="1" a="1"/>
  <c r="B136" i="1" s="1"/>
  <c r="C136" i="1" s="1"/>
  <c r="B137" i="1" a="1"/>
  <c r="B137" i="1" s="1"/>
  <c r="C137" i="1" s="1"/>
  <c r="B138" i="1" a="1"/>
  <c r="B138" i="1" s="1"/>
  <c r="C138" i="1" s="1"/>
  <c r="B139" i="1" a="1"/>
  <c r="B139" i="1" s="1"/>
  <c r="C139" i="1" s="1"/>
  <c r="B140" i="1" a="1"/>
  <c r="B140" i="1" s="1"/>
  <c r="C140" i="1" s="1"/>
  <c r="B141" i="1" a="1"/>
  <c r="B141" i="1" s="1"/>
  <c r="C141" i="1" s="1"/>
  <c r="B142" i="1" a="1"/>
  <c r="B142" i="1" s="1"/>
  <c r="C142" i="1" s="1"/>
  <c r="B143" i="1" a="1"/>
  <c r="B143" i="1" s="1"/>
  <c r="C143" i="1" s="1"/>
  <c r="B144" i="1" a="1"/>
  <c r="B144" i="1" s="1"/>
  <c r="C144" i="1" s="1"/>
  <c r="B145" i="1" a="1"/>
  <c r="B145" i="1" s="1"/>
  <c r="C145" i="1" s="1"/>
  <c r="B146" i="1" a="1"/>
  <c r="B146" i="1" s="1"/>
  <c r="C146" i="1" s="1"/>
  <c r="B147" i="1" a="1"/>
  <c r="B147" i="1" s="1"/>
  <c r="C147" i="1" s="1"/>
  <c r="B148" i="1" a="1"/>
  <c r="B148" i="1" s="1"/>
  <c r="C148" i="1" s="1"/>
  <c r="B149" i="1" a="1"/>
  <c r="B149" i="1" s="1"/>
  <c r="C149" i="1" s="1"/>
  <c r="B150" i="1" a="1"/>
  <c r="B150" i="1" s="1"/>
  <c r="C150" i="1" s="1"/>
  <c r="B151" i="1" a="1"/>
  <c r="B151" i="1" s="1"/>
  <c r="C151" i="1" s="1"/>
  <c r="B152" i="1" a="1"/>
  <c r="B152" i="1" s="1"/>
  <c r="C152" i="1" s="1"/>
  <c r="B153" i="1" a="1"/>
  <c r="B153" i="1" s="1"/>
  <c r="C153" i="1" s="1"/>
  <c r="B154" i="1" a="1"/>
  <c r="B154" i="1" s="1"/>
  <c r="C154" i="1" s="1"/>
  <c r="B155" i="1" a="1"/>
  <c r="B155" i="1" s="1"/>
  <c r="C155" i="1" s="1"/>
  <c r="B156" i="1" a="1"/>
  <c r="B156" i="1" s="1"/>
  <c r="C156" i="1" s="1"/>
  <c r="B157" i="1" a="1"/>
  <c r="B157" i="1" s="1"/>
  <c r="C157" i="1" s="1"/>
  <c r="B158" i="1" a="1"/>
  <c r="B158" i="1" s="1"/>
  <c r="C158" i="1" s="1"/>
  <c r="B159" i="1" a="1"/>
  <c r="B159" i="1" s="1"/>
  <c r="C159" i="1" s="1"/>
  <c r="B160" i="1" a="1"/>
  <c r="B160" i="1" s="1"/>
  <c r="C160" i="1" s="1"/>
  <c r="B161" i="1" a="1"/>
  <c r="B161" i="1" s="1"/>
  <c r="C161" i="1" s="1"/>
  <c r="B162" i="1" a="1"/>
  <c r="B162" i="1" s="1"/>
  <c r="C162" i="1" s="1"/>
  <c r="B163" i="1" a="1"/>
  <c r="B163" i="1" s="1"/>
  <c r="C163" i="1" s="1"/>
  <c r="B164" i="1" a="1"/>
  <c r="B164" i="1" s="1"/>
  <c r="C164" i="1" s="1"/>
  <c r="B165" i="1" a="1"/>
  <c r="B165" i="1" s="1"/>
  <c r="C165" i="1" s="1"/>
  <c r="B166" i="1" a="1"/>
  <c r="B166" i="1" s="1"/>
  <c r="C166" i="1" s="1"/>
  <c r="B167" i="1" a="1"/>
  <c r="B167" i="1" s="1"/>
  <c r="C167" i="1" s="1"/>
  <c r="B168" i="1" a="1"/>
  <c r="B168" i="1" s="1"/>
  <c r="C168" i="1" s="1"/>
  <c r="B169" i="1" a="1"/>
  <c r="B169" i="1" s="1"/>
  <c r="C169" i="1" s="1"/>
  <c r="B170" i="1" a="1"/>
  <c r="B170" i="1" s="1"/>
  <c r="C170" i="1" s="1"/>
  <c r="B171" i="1" a="1"/>
  <c r="B171" i="1" s="1"/>
  <c r="C171" i="1" s="1"/>
  <c r="B172" i="1" a="1"/>
  <c r="B172" i="1" s="1"/>
  <c r="C172" i="1" s="1"/>
  <c r="B173" i="1" a="1"/>
  <c r="B173" i="1" s="1"/>
  <c r="C173" i="1" s="1"/>
  <c r="B174" i="1" a="1"/>
  <c r="B174" i="1" s="1"/>
  <c r="C174" i="1" s="1"/>
  <c r="B175" i="1" a="1"/>
  <c r="B175" i="1" s="1"/>
  <c r="C175" i="1" s="1"/>
  <c r="B176" i="1" a="1"/>
  <c r="B176" i="1" s="1"/>
  <c r="C176" i="1" s="1"/>
  <c r="B177" i="1" a="1"/>
  <c r="B177" i="1" s="1"/>
  <c r="C177" i="1" s="1"/>
  <c r="B178" i="1" a="1"/>
  <c r="B178" i="1" s="1"/>
  <c r="C178" i="1" s="1"/>
  <c r="B179" i="1" a="1"/>
  <c r="B179" i="1" s="1"/>
  <c r="C179" i="1" s="1"/>
  <c r="B180" i="1" a="1"/>
  <c r="B180" i="1" s="1"/>
  <c r="C180" i="1" s="1"/>
  <c r="B181" i="1" a="1"/>
  <c r="B181" i="1" s="1"/>
  <c r="C181" i="1" s="1"/>
  <c r="B182" i="1" a="1"/>
  <c r="B182" i="1" s="1"/>
  <c r="C182" i="1" s="1"/>
  <c r="B183" i="1" a="1"/>
  <c r="B183" i="1" s="1"/>
  <c r="C183" i="1" s="1"/>
  <c r="B184" i="1" a="1"/>
  <c r="B184" i="1" s="1"/>
  <c r="C184" i="1" s="1"/>
  <c r="B185" i="1" a="1"/>
  <c r="B185" i="1" s="1"/>
  <c r="C185" i="1" s="1"/>
  <c r="B186" i="1" a="1"/>
  <c r="B186" i="1" s="1"/>
  <c r="C186" i="1" s="1"/>
  <c r="B187" i="1" a="1"/>
  <c r="B187" i="1" s="1"/>
  <c r="C187" i="1" s="1"/>
  <c r="B188" i="1" a="1"/>
  <c r="B188" i="1" s="1"/>
  <c r="C188" i="1" s="1"/>
  <c r="B189" i="1" a="1"/>
  <c r="B189" i="1" s="1"/>
  <c r="C189" i="1" s="1"/>
  <c r="B190" i="1" a="1"/>
  <c r="B190" i="1" s="1"/>
  <c r="C190" i="1" s="1"/>
  <c r="B191" i="1" a="1"/>
  <c r="B191" i="1" s="1"/>
  <c r="C191" i="1" s="1"/>
  <c r="B192" i="1" a="1"/>
  <c r="B192" i="1" s="1"/>
  <c r="C192" i="1" s="1"/>
  <c r="B193" i="1" a="1"/>
  <c r="B193" i="1" s="1"/>
  <c r="C193" i="1" s="1"/>
  <c r="B194" i="1" a="1"/>
  <c r="B194" i="1" s="1"/>
  <c r="C194" i="1" s="1"/>
  <c r="B195" i="1" a="1"/>
  <c r="B195" i="1" s="1"/>
  <c r="C195" i="1" s="1"/>
  <c r="B196" i="1" a="1"/>
  <c r="B196" i="1" s="1"/>
  <c r="C196" i="1" s="1"/>
  <c r="B197" i="1" a="1"/>
  <c r="B197" i="1" s="1"/>
  <c r="C197" i="1" s="1"/>
  <c r="B198" i="1" a="1"/>
  <c r="B198" i="1" s="1"/>
  <c r="C198" i="1" s="1"/>
  <c r="B199" i="1" a="1"/>
  <c r="B199" i="1" s="1"/>
  <c r="C199" i="1" s="1"/>
  <c r="B200" i="1" a="1"/>
  <c r="B200" i="1" s="1"/>
  <c r="C200" i="1" s="1"/>
  <c r="B201" i="1" a="1"/>
  <c r="B201" i="1" s="1"/>
  <c r="C201" i="1" s="1"/>
  <c r="M2" i="1"/>
  <c r="L2" i="1"/>
  <c r="K2" i="1" a="1"/>
  <c r="K2" i="1" s="1"/>
  <c r="I2" i="1"/>
  <c r="H2" i="1"/>
  <c r="E2" i="1"/>
  <c r="F2" i="1" s="1"/>
  <c r="G2" i="1" s="1"/>
  <c r="O2" i="1" s="1"/>
  <c r="D2" i="1" a="1"/>
  <c r="D2" i="1" s="1"/>
  <c r="B2" i="1" a="1"/>
  <c r="B2" i="1" s="1"/>
  <c r="C2" i="1" s="1"/>
  <c r="D3" i="10" l="1"/>
  <c r="B4" i="5"/>
  <c r="B3" i="5"/>
  <c r="E7" i="4"/>
  <c r="E6" i="4"/>
  <c r="E5" i="4"/>
  <c r="E4" i="4"/>
  <c r="E3" i="4"/>
  <c r="E2" i="4"/>
  <c r="C7" i="4"/>
  <c r="C6" i="4"/>
  <c r="C5" i="4"/>
  <c r="C4" i="4"/>
  <c r="C3" i="4"/>
  <c r="C2" i="4"/>
  <c r="B7" i="4"/>
  <c r="B6" i="4"/>
  <c r="B5" i="4"/>
  <c r="B4" i="4"/>
  <c r="B3" i="4"/>
  <c r="B2" i="4"/>
  <c r="B6" i="3"/>
  <c r="B5" i="3"/>
  <c r="B3" i="3"/>
  <c r="B4" i="3"/>
  <c r="B8" i="3"/>
  <c r="B7" i="3"/>
  <c r="B2" i="3"/>
  <c r="N26" i="1"/>
  <c r="J157" i="1"/>
  <c r="N97" i="1"/>
  <c r="J90" i="1"/>
  <c r="J73" i="1"/>
  <c r="J83" i="1"/>
  <c r="J76" i="1"/>
  <c r="J50" i="1"/>
  <c r="J136" i="1"/>
  <c r="N95" i="1"/>
  <c r="N84" i="1"/>
  <c r="N25" i="1"/>
  <c r="J118" i="1"/>
  <c r="N176" i="1"/>
  <c r="J70" i="1"/>
  <c r="N68" i="1"/>
  <c r="N131" i="1"/>
  <c r="J190" i="1"/>
  <c r="N45" i="1"/>
  <c r="J101" i="1"/>
  <c r="J48" i="1"/>
  <c r="N152" i="1"/>
  <c r="J49" i="1"/>
  <c r="J18" i="1"/>
  <c r="J6" i="1"/>
  <c r="J78" i="1"/>
  <c r="J42" i="1"/>
  <c r="J37" i="1"/>
  <c r="J47" i="1"/>
  <c r="J81" i="1"/>
  <c r="N128" i="1"/>
  <c r="N188" i="1"/>
  <c r="J45" i="1"/>
  <c r="J130" i="1"/>
  <c r="J96" i="1"/>
  <c r="N81" i="1"/>
  <c r="N57" i="1"/>
  <c r="N46" i="1"/>
  <c r="J60" i="1"/>
  <c r="N172" i="1"/>
  <c r="J88" i="1"/>
  <c r="J58" i="1"/>
  <c r="N15" i="1"/>
  <c r="J175" i="1"/>
  <c r="N167" i="1"/>
  <c r="J160" i="1"/>
  <c r="J143" i="1"/>
  <c r="N30" i="1"/>
  <c r="N61" i="1"/>
  <c r="J59" i="1"/>
  <c r="N23" i="1"/>
  <c r="N106" i="1"/>
  <c r="J91" i="1"/>
  <c r="J64" i="1"/>
  <c r="J181" i="1"/>
  <c r="N168" i="1"/>
  <c r="J144" i="1"/>
  <c r="J77" i="1"/>
  <c r="J196" i="1"/>
  <c r="J137" i="1"/>
  <c r="J5" i="1"/>
  <c r="J145" i="1"/>
  <c r="N137" i="1"/>
  <c r="J112" i="1"/>
  <c r="N92" i="1"/>
  <c r="N72" i="1"/>
  <c r="J65" i="1"/>
  <c r="J4" i="1"/>
  <c r="J98" i="1"/>
  <c r="J82" i="1"/>
  <c r="J44" i="1"/>
  <c r="N14" i="1"/>
  <c r="J193" i="1"/>
  <c r="N161" i="1"/>
  <c r="J133" i="1"/>
  <c r="J113" i="1"/>
  <c r="N69" i="1"/>
  <c r="N59" i="1"/>
  <c r="N49" i="1"/>
  <c r="N133" i="1"/>
  <c r="N93" i="1"/>
  <c r="J169" i="1"/>
  <c r="N156" i="1"/>
  <c r="N85" i="1"/>
  <c r="J80" i="1"/>
  <c r="J178" i="1"/>
  <c r="J109" i="1"/>
  <c r="J30" i="1"/>
  <c r="N191" i="1"/>
  <c r="J126" i="1"/>
  <c r="J28" i="1"/>
  <c r="N184" i="1"/>
  <c r="J142" i="1"/>
  <c r="J124" i="1"/>
  <c r="J97" i="1"/>
  <c r="J53" i="1"/>
  <c r="N44" i="1"/>
  <c r="J43" i="1"/>
  <c r="J33" i="1"/>
  <c r="J132" i="1"/>
  <c r="N33" i="1"/>
  <c r="J200" i="1"/>
  <c r="J150" i="1"/>
  <c r="J100" i="1"/>
  <c r="J84" i="1"/>
  <c r="N73" i="1"/>
  <c r="J61" i="1"/>
  <c r="J179" i="1"/>
  <c r="J173" i="1"/>
  <c r="J201" i="1"/>
  <c r="N192" i="1"/>
  <c r="J180" i="1"/>
  <c r="N173" i="1"/>
  <c r="N165" i="1"/>
  <c r="J148" i="1"/>
  <c r="J125" i="1"/>
  <c r="J114" i="1"/>
  <c r="J93" i="1"/>
  <c r="J40" i="1"/>
  <c r="J8" i="1"/>
  <c r="N154" i="1"/>
  <c r="N125" i="1"/>
  <c r="N120" i="1"/>
  <c r="N109" i="1"/>
  <c r="N101" i="1"/>
  <c r="N48" i="1"/>
  <c r="N18" i="1"/>
  <c r="J177" i="1"/>
  <c r="N56" i="1"/>
  <c r="N11" i="1"/>
  <c r="J184" i="1"/>
  <c r="J163" i="1"/>
  <c r="N157" i="1"/>
  <c r="J140" i="1"/>
  <c r="N104" i="1"/>
  <c r="J54" i="1"/>
  <c r="J149" i="1"/>
  <c r="J121" i="1"/>
  <c r="J19" i="1"/>
  <c r="J3" i="1"/>
  <c r="N196" i="1"/>
  <c r="N166" i="1"/>
  <c r="J161" i="1"/>
  <c r="J85" i="1"/>
  <c r="J172" i="1"/>
  <c r="N121" i="1"/>
  <c r="J119" i="1"/>
  <c r="J89" i="1"/>
  <c r="J55" i="1"/>
  <c r="J36" i="1"/>
  <c r="N200" i="1"/>
  <c r="J197" i="1"/>
  <c r="J194" i="1"/>
  <c r="N185" i="1"/>
  <c r="N169" i="1"/>
  <c r="J164" i="1"/>
  <c r="N144" i="1"/>
  <c r="N116" i="1"/>
  <c r="N113" i="1"/>
  <c r="N108" i="1"/>
  <c r="J156" i="1"/>
  <c r="N153" i="1"/>
  <c r="J122" i="1"/>
  <c r="J106" i="1"/>
  <c r="J92" i="1"/>
  <c r="J72" i="1"/>
  <c r="J69" i="1"/>
  <c r="J66" i="1"/>
  <c r="N58" i="1"/>
  <c r="N189" i="1"/>
  <c r="N118" i="1"/>
  <c r="J35" i="1"/>
  <c r="N34" i="1"/>
  <c r="N94" i="1"/>
  <c r="N35" i="1"/>
  <c r="J14" i="1"/>
  <c r="N190" i="1"/>
  <c r="N181" i="1"/>
  <c r="J166" i="1"/>
  <c r="N149" i="1"/>
  <c r="J138" i="1"/>
  <c r="J107" i="1"/>
  <c r="J29" i="1"/>
  <c r="N29" i="1"/>
  <c r="J26" i="1"/>
  <c r="J20" i="1"/>
  <c r="J17" i="1"/>
  <c r="J176" i="1"/>
  <c r="J154" i="1"/>
  <c r="N145" i="1"/>
  <c r="N142" i="1"/>
  <c r="N140" i="1"/>
  <c r="J134" i="1"/>
  <c r="J131" i="1"/>
  <c r="N119" i="1"/>
  <c r="J115" i="1"/>
  <c r="N107" i="1"/>
  <c r="J103" i="1"/>
  <c r="J95" i="1"/>
  <c r="N82" i="1"/>
  <c r="N80" i="1"/>
  <c r="J71" i="1"/>
  <c r="N70" i="1"/>
  <c r="N55" i="1"/>
  <c r="J52" i="1"/>
  <c r="J46" i="1"/>
  <c r="N43" i="1"/>
  <c r="N36" i="1"/>
  <c r="N71" i="1"/>
  <c r="J12" i="1"/>
  <c r="J167" i="1"/>
  <c r="J155" i="1"/>
  <c r="N143" i="1"/>
  <c r="J139" i="1"/>
  <c r="J120" i="1"/>
  <c r="J116" i="1"/>
  <c r="J108" i="1"/>
  <c r="J104" i="1"/>
  <c r="N88" i="1"/>
  <c r="J79" i="1"/>
  <c r="J41" i="1"/>
  <c r="J162" i="1"/>
  <c r="N100" i="1"/>
  <c r="N83" i="1"/>
  <c r="J67" i="1"/>
  <c r="J56" i="1"/>
  <c r="N37" i="1"/>
  <c r="N193" i="1"/>
  <c r="N180" i="1"/>
  <c r="J127" i="1"/>
  <c r="J10" i="1"/>
  <c r="J7" i="1"/>
  <c r="J189" i="1"/>
  <c r="J188" i="1"/>
  <c r="N178" i="1"/>
  <c r="J168" i="1"/>
  <c r="N155" i="1"/>
  <c r="J151" i="1"/>
  <c r="N136" i="1"/>
  <c r="N132" i="1"/>
  <c r="J128" i="1"/>
  <c r="N117" i="1"/>
  <c r="N96" i="1"/>
  <c r="J68" i="1"/>
  <c r="N60" i="1"/>
  <c r="J57" i="1"/>
  <c r="N47" i="1"/>
  <c r="N201" i="1"/>
  <c r="J192" i="1"/>
  <c r="N177" i="1"/>
  <c r="N164" i="1"/>
  <c r="N89" i="1"/>
  <c r="J34" i="1"/>
  <c r="J16" i="1"/>
  <c r="J13" i="1"/>
  <c r="J185" i="1"/>
  <c r="N179" i="1"/>
  <c r="J174" i="1"/>
  <c r="J165" i="1"/>
  <c r="J152" i="1"/>
  <c r="J102" i="1"/>
  <c r="J94" i="1"/>
  <c r="N6" i="1"/>
  <c r="J51" i="1"/>
  <c r="N51" i="1"/>
  <c r="J32" i="1"/>
  <c r="N27" i="1"/>
  <c r="N22" i="1"/>
  <c r="J15" i="1"/>
  <c r="J11" i="1"/>
  <c r="J191" i="1"/>
  <c r="J170" i="1"/>
  <c r="J86" i="1"/>
  <c r="J23" i="1"/>
  <c r="N5" i="1"/>
  <c r="N4" i="1"/>
  <c r="J198" i="1"/>
  <c r="N198" i="1"/>
  <c r="N130" i="1"/>
  <c r="N122" i="1"/>
  <c r="J110" i="1"/>
  <c r="J62" i="1"/>
  <c r="J39" i="1"/>
  <c r="N39" i="1"/>
  <c r="J199" i="1"/>
  <c r="N199" i="1"/>
  <c r="J186" i="1"/>
  <c r="N186" i="1"/>
  <c r="J74" i="1"/>
  <c r="N19" i="1"/>
  <c r="N13" i="1"/>
  <c r="N7" i="1"/>
  <c r="J171" i="1"/>
  <c r="N171" i="1"/>
  <c r="J99" i="1"/>
  <c r="N99" i="1"/>
  <c r="N28" i="1"/>
  <c r="J187" i="1"/>
  <c r="N187" i="1"/>
  <c r="J182" i="1"/>
  <c r="J146" i="1"/>
  <c r="J87" i="1"/>
  <c r="N87" i="1"/>
  <c r="J158" i="1"/>
  <c r="J123" i="1"/>
  <c r="N123" i="1"/>
  <c r="J111" i="1"/>
  <c r="N111" i="1"/>
  <c r="J63" i="1"/>
  <c r="N63" i="1"/>
  <c r="J24" i="1"/>
  <c r="N16" i="1"/>
  <c r="N197" i="1"/>
  <c r="J135" i="1"/>
  <c r="N135" i="1"/>
  <c r="N124" i="1"/>
  <c r="N112" i="1"/>
  <c r="J75" i="1"/>
  <c r="N75" i="1"/>
  <c r="N64" i="1"/>
  <c r="N53" i="1"/>
  <c r="J183" i="1"/>
  <c r="N183" i="1"/>
  <c r="N105" i="1"/>
  <c r="N76" i="1"/>
  <c r="J38" i="1"/>
  <c r="J9" i="1"/>
  <c r="N3" i="1"/>
  <c r="J195" i="1"/>
  <c r="N195" i="1"/>
  <c r="J147" i="1"/>
  <c r="N147" i="1"/>
  <c r="J31" i="1"/>
  <c r="J25" i="1"/>
  <c r="J21" i="1"/>
  <c r="N17" i="1"/>
  <c r="J159" i="1"/>
  <c r="N159" i="1"/>
  <c r="N148" i="1"/>
  <c r="N129" i="1"/>
  <c r="N65" i="1"/>
  <c r="N31" i="1"/>
  <c r="J22" i="1"/>
  <c r="N160" i="1"/>
  <c r="N141" i="1"/>
  <c r="N77" i="1"/>
  <c r="N175" i="1"/>
  <c r="N163" i="1"/>
  <c r="N151" i="1"/>
  <c r="N139" i="1"/>
  <c r="N127" i="1"/>
  <c r="N115" i="1"/>
  <c r="N103" i="1"/>
  <c r="N91" i="1"/>
  <c r="N79" i="1"/>
  <c r="N67" i="1"/>
  <c r="N174" i="1"/>
  <c r="N162" i="1"/>
  <c r="N150" i="1"/>
  <c r="N138" i="1"/>
  <c r="N126" i="1"/>
  <c r="N114" i="1"/>
  <c r="N102" i="1"/>
  <c r="N90" i="1"/>
  <c r="N78" i="1"/>
  <c r="N66" i="1"/>
  <c r="N54" i="1"/>
  <c r="N42" i="1"/>
  <c r="N41" i="1"/>
  <c r="J153" i="1"/>
  <c r="J141" i="1"/>
  <c r="J129" i="1"/>
  <c r="J117" i="1"/>
  <c r="J105" i="1"/>
  <c r="N52" i="1"/>
  <c r="N40" i="1"/>
  <c r="N194" i="1"/>
  <c r="N182" i="1"/>
  <c r="N170" i="1"/>
  <c r="N158" i="1"/>
  <c r="N146" i="1"/>
  <c r="N134" i="1"/>
  <c r="N110" i="1"/>
  <c r="N98" i="1"/>
  <c r="N86" i="1"/>
  <c r="N74" i="1"/>
  <c r="N62" i="1"/>
  <c r="N50" i="1"/>
  <c r="N38" i="1"/>
  <c r="N10" i="1"/>
  <c r="N24" i="1"/>
  <c r="N12" i="1"/>
  <c r="J27" i="1"/>
  <c r="N21" i="1"/>
  <c r="N9" i="1"/>
  <c r="N32" i="1"/>
  <c r="N20" i="1"/>
  <c r="N8" i="1"/>
  <c r="N2" i="1"/>
  <c r="J2" i="1"/>
  <c r="D5" i="10" l="1"/>
  <c r="D4" i="10"/>
  <c r="B5" i="5"/>
  <c r="D7" i="4"/>
  <c r="D6" i="4"/>
  <c r="D2" i="4"/>
  <c r="D3" i="4"/>
  <c r="D5" i="4"/>
  <c r="D4" i="4"/>
  <c r="C7" i="3"/>
  <c r="C4" i="3"/>
  <c r="C5" i="3"/>
  <c r="C3" i="3"/>
  <c r="C8" i="3"/>
  <c r="C6" i="3"/>
  <c r="C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<sst xmlns="http://schemas.openxmlformats.org/spreadsheetml/2006/main" count="102" uniqueCount="60">
  <si>
    <t>Forklift</t>
  </si>
  <si>
    <t>Bobcat</t>
  </si>
  <si>
    <t>Front End Loader</t>
  </si>
  <si>
    <t>Boom Lift</t>
  </si>
  <si>
    <t>Mini Excavator</t>
  </si>
  <si>
    <t>Welding Machine</t>
  </si>
  <si>
    <t>Equipment_Name</t>
  </si>
  <si>
    <t>Equipment_ID</t>
  </si>
  <si>
    <t>F7(217595AH)</t>
  </si>
  <si>
    <t>BC1(10931016)</t>
  </si>
  <si>
    <t>FE1(10930360)</t>
  </si>
  <si>
    <t>BL8(1047802)</t>
  </si>
  <si>
    <t>ME6(10682709)</t>
  </si>
  <si>
    <t>WM12(WD5-000729)</t>
  </si>
  <si>
    <t>Department</t>
  </si>
  <si>
    <t>Operations</t>
  </si>
  <si>
    <t>Yard</t>
  </si>
  <si>
    <t>Maintenance</t>
  </si>
  <si>
    <t>Driver_Name</t>
  </si>
  <si>
    <t>Ravi</t>
  </si>
  <si>
    <t>Jose</t>
  </si>
  <si>
    <t>Maria</t>
  </si>
  <si>
    <t>Ahmed</t>
  </si>
  <si>
    <t>Date</t>
  </si>
  <si>
    <t>Odometer_Start</t>
  </si>
  <si>
    <t>Odometer_End</t>
  </si>
  <si>
    <t>Distance</t>
  </si>
  <si>
    <t>Fuel_Liters</t>
  </si>
  <si>
    <t>Fuel_Cost_per_Liter</t>
  </si>
  <si>
    <t>Fuel_Cost_Total</t>
  </si>
  <si>
    <t>Month</t>
  </si>
  <si>
    <t>Year</t>
  </si>
  <si>
    <t>Km_per_Liter</t>
  </si>
  <si>
    <t>Total_Distance</t>
  </si>
  <si>
    <t>Total_Fuel_Cost</t>
  </si>
  <si>
    <t>2024-10</t>
  </si>
  <si>
    <t>2024-11</t>
  </si>
  <si>
    <t>2024-12</t>
  </si>
  <si>
    <t>2025-01</t>
  </si>
  <si>
    <t>2025-02</t>
  </si>
  <si>
    <t>2025-03</t>
  </si>
  <si>
    <t>2025-04</t>
  </si>
  <si>
    <t>Total_Fuel</t>
  </si>
  <si>
    <t>Avg_Km_per_Liter</t>
  </si>
  <si>
    <t>Trips_Count</t>
  </si>
  <si>
    <r>
      <t>Usage_Category</t>
    </r>
    <r>
      <rPr>
        <sz val="11"/>
        <color theme="1"/>
        <rFont val="Aptos Narrow"/>
        <family val="2"/>
        <scheme val="minor"/>
      </rPr>
      <t>.</t>
    </r>
  </si>
  <si>
    <t>Select_Equipment</t>
  </si>
  <si>
    <t>Row Labels</t>
  </si>
  <si>
    <t>Grand Total</t>
  </si>
  <si>
    <t>Sum of Distance</t>
  </si>
  <si>
    <t>Sum of Fuel_Cost_Total</t>
  </si>
  <si>
    <t>Average of Km_per_Liter</t>
  </si>
  <si>
    <t>Equipment Mileage &amp; Fuel Cost Dashboard</t>
  </si>
  <si>
    <t>Total Distance</t>
  </si>
  <si>
    <t>Total Fuel Cost</t>
  </si>
  <si>
    <t>Average Km per Liter</t>
  </si>
  <si>
    <t>Distance by Equipment</t>
  </si>
  <si>
    <t>Fuel Cost by Month</t>
  </si>
  <si>
    <t>Average Km per Liter by Equipment.</t>
  </si>
  <si>
    <t>Distance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</si>
</sst>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color theme="1"/>
      <name val="Arial Unicode MS"/>
    </font>
    <font>
      <b/>
      <sz val="16"/>
      <color theme="1"/>
      <name val="Arial Unicode MS"/>
    </font>
    <font>
      <b/>
      <sz val="16"/>
      <color theme="1"/>
      <name val="Aptos Narrow"/>
      <family val="2"/>
      <scheme val="minor"/>
    </font>
    <font>
      <sz val="8"/>
      <name val="Aptos Narrow"/>
      <family val="2"/>
      <scheme val="minor"/>
    </font>
    <font>
      <b/>
      <sz val="14"/>
      <color theme="1"/>
      <name val="Aptos Narrow"/>
      <family val="2"/>
      <scheme val="minor"/>
    </font>
    <font>
      <b/>
      <sz val="14"/>
      <color theme="1"/>
      <name val="Arial Unicode MS"/>
    </font>
    <font>
      <sz val="16"/>
      <color theme="1"/>
      <name val="Aptos Narrow"/>
      <family val="2"/>
      <scheme val="minor"/>
    </font>
    <font>
      <sz val="16"/>
      <color theme="1"/>
      <name val="Arial Unicode MS"/>
    </font>
    <font>
      <b/>
      <sz val="18"/>
      <color theme="1"/>
      <name val="Aptos Narrow"/>
      <family val="2"/>
      <scheme val="minor"/>
    </font>
    <font>
      <sz val="14"/>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1" fillId="0" borderId="0" xfId="0" applyFont="1"/>
    <xf numFmtId="0" fontId="3" fillId="0" borderId="0" xfId="0" applyFont="1" applyAlignment="1">
      <alignment horizontal="center"/>
    </xf>
    <xf numFmtId="2" fontId="0" fillId="0" borderId="0" xfId="0" applyNumberFormat="1"/>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left"/>
    </xf>
    <xf numFmtId="0" fontId="5" fillId="0" borderId="0" xfId="0" applyFont="1"/>
    <xf numFmtId="0" fontId="5" fillId="0" borderId="0" xfId="0" applyFont="1" applyAlignment="1">
      <alignment horizontal="center"/>
    </xf>
    <xf numFmtId="2" fontId="6" fillId="0" borderId="0" xfId="0" applyNumberFormat="1" applyFont="1" applyAlignment="1">
      <alignment horizontal="center"/>
    </xf>
    <xf numFmtId="0" fontId="2" fillId="0" borderId="2" xfId="0" applyFont="1" applyBorder="1" applyAlignment="1">
      <alignment horizontal="center"/>
    </xf>
    <xf numFmtId="0" fontId="3" fillId="0" borderId="3" xfId="0" applyFont="1" applyBorder="1" applyAlignment="1">
      <alignment horizontal="left"/>
    </xf>
    <xf numFmtId="0" fontId="3" fillId="0" borderId="3" xfId="0" applyFont="1" applyBorder="1" applyAlignment="1">
      <alignment horizontal="center"/>
    </xf>
    <xf numFmtId="2" fontId="3" fillId="0" borderId="4" xfId="0" applyNumberFormat="1" applyFont="1" applyBorder="1" applyAlignment="1">
      <alignment horizontal="center"/>
    </xf>
    <xf numFmtId="14" fontId="0" fillId="0" borderId="5" xfId="0" applyNumberFormat="1" applyBorder="1" applyAlignment="1">
      <alignment horizontal="center"/>
    </xf>
    <xf numFmtId="0" fontId="0" fillId="0" borderId="1" xfId="0" applyBorder="1" applyAlignment="1">
      <alignment horizontal="left"/>
    </xf>
    <xf numFmtId="0" fontId="0" fillId="0" borderId="1" xfId="0" applyBorder="1" applyAlignment="1">
      <alignment horizontal="center"/>
    </xf>
    <xf numFmtId="2" fontId="0" fillId="0" borderId="6" xfId="0" applyNumberFormat="1" applyBorder="1" applyAlignment="1">
      <alignment horizontal="center"/>
    </xf>
    <xf numFmtId="14" fontId="0" fillId="0" borderId="7" xfId="0" applyNumberFormat="1" applyBorder="1" applyAlignment="1">
      <alignment horizontal="center"/>
    </xf>
    <xf numFmtId="0" fontId="0" fillId="0" borderId="8" xfId="0" applyBorder="1" applyAlignment="1">
      <alignment horizontal="left"/>
    </xf>
    <xf numFmtId="0" fontId="0" fillId="0" borderId="8" xfId="0" applyBorder="1" applyAlignment="1">
      <alignment horizontal="center"/>
    </xf>
    <xf numFmtId="2" fontId="0" fillId="0" borderId="9" xfId="0" applyNumberFormat="1" applyBorder="1" applyAlignment="1">
      <alignment horizontal="center"/>
    </xf>
    <xf numFmtId="0" fontId="0" fillId="0" borderId="3" xfId="0" applyBorder="1" applyAlignment="1">
      <alignment horizontal="center"/>
    </xf>
    <xf numFmtId="0" fontId="7" fillId="0" borderId="0" xfId="0" applyFont="1"/>
    <xf numFmtId="0" fontId="8" fillId="0" borderId="0" xfId="0" applyFont="1"/>
    <xf numFmtId="0" fontId="0" fillId="0" borderId="0" xfId="0" pivotButton="1"/>
    <xf numFmtId="0" fontId="10" fillId="0" borderId="0" xfId="0" applyFont="1"/>
    <xf numFmtId="2" fontId="5" fillId="0" borderId="0" xfId="0" applyNumberFormat="1" applyFont="1"/>
    <xf numFmtId="0" fontId="0" fillId="0" borderId="0" xfId="0" applyAlignment="1">
      <alignment horizontal="center"/>
    </xf>
    <xf numFmtId="0" fontId="9" fillId="0" borderId="0" xfId="0" applyFont="1" applyAlignment="1">
      <alignment horizontal="center"/>
    </xf>
  </cellXfs>
  <cellStyles count="1">
    <cellStyle name="Normal" xfId="0" builtinId="0"/>
  </cellStyles>
  <dxfs count="21">
    <dxf>
      <font>
        <color rgb="FF9C0006"/>
      </font>
      <fill>
        <patternFill>
          <bgColor rgb="FFFFC7CE"/>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6"/>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 Milage_Fuel_Analysis.xlsx]Pivot_Distance_Equip!PivotTable1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Pivot_Distance_Equip!$C$3</c:f>
              <c:strCache>
                <c:ptCount val="1"/>
                <c:pt idx="0">
                  <c:v>Total</c:v>
                </c:pt>
              </c:strCache>
            </c:strRef>
          </c:tx>
          <c:spPr>
            <a:solidFill>
              <a:schemeClr val="accent1"/>
            </a:solidFill>
            <a:ln>
              <a:noFill/>
            </a:ln>
            <a:effectLst/>
          </c:spPr>
          <c:invertIfNegative val="0"/>
          <c:cat>
            <c:strRef>
              <c:f>Pivot_Distance_Equip!$B$4:$B$10</c:f>
              <c:strCache>
                <c:ptCount val="6"/>
                <c:pt idx="0">
                  <c:v>Bobcat</c:v>
                </c:pt>
                <c:pt idx="1">
                  <c:v>Boom Lift</c:v>
                </c:pt>
                <c:pt idx="2">
                  <c:v>Forklift</c:v>
                </c:pt>
                <c:pt idx="3">
                  <c:v>Front End Loader</c:v>
                </c:pt>
                <c:pt idx="4">
                  <c:v>Mini Excavator</c:v>
                </c:pt>
                <c:pt idx="5">
                  <c:v>Welding Machine</c:v>
                </c:pt>
              </c:strCache>
            </c:strRef>
          </c:cat>
          <c:val>
            <c:numRef>
              <c:f>Pivot_Distance_Equip!$C$4:$C$10</c:f>
              <c:numCache>
                <c:formatCode>General</c:formatCode>
                <c:ptCount val="6"/>
                <c:pt idx="0">
                  <c:v>1442</c:v>
                </c:pt>
                <c:pt idx="1">
                  <c:v>1462</c:v>
                </c:pt>
                <c:pt idx="2">
                  <c:v>1380</c:v>
                </c:pt>
                <c:pt idx="3">
                  <c:v>1309</c:v>
                </c:pt>
                <c:pt idx="4">
                  <c:v>1252</c:v>
                </c:pt>
                <c:pt idx="5">
                  <c:v>1091</c:v>
                </c:pt>
              </c:numCache>
            </c:numRef>
          </c:val>
          <c:extLst>
            <c:ext xmlns:c16="http://schemas.microsoft.com/office/drawing/2014/chart" uri="{C3380CC4-5D6E-409C-BE32-E72D297353CC}">
              <c16:uniqueId val="{00000000-53E5-4234-8536-93C27C4A71A2}"/>
            </c:ext>
          </c:extLst>
        </c:ser>
        <c:dLbls>
          <c:showLegendKey val="0"/>
          <c:showVal val="0"/>
          <c:showCatName val="0"/>
          <c:showSerName val="0"/>
          <c:showPercent val="0"/>
          <c:showBubbleSize val="0"/>
        </c:dLbls>
        <c:gapWidth val="219"/>
        <c:overlap val="-27"/>
        <c:axId val="1386310879"/>
        <c:axId val="1386311359"/>
      </c:barChart>
      <c:catAx>
        <c:axId val="13863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11359"/>
        <c:crosses val="autoZero"/>
        <c:auto val="1"/>
        <c:lblAlgn val="ctr"/>
        <c:lblOffset val="100"/>
        <c:noMultiLvlLbl val="0"/>
      </c:catAx>
      <c:valAx>
        <c:axId val="13863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1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 Milage_Fuel_Analysis.xlsx]Pivot_Fuel_Month.!PivotTable2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Pivot_Fuel_Month.!$B$3</c:f>
              <c:strCache>
                <c:ptCount val="1"/>
                <c:pt idx="0">
                  <c:v>Total</c:v>
                </c:pt>
              </c:strCache>
            </c:strRef>
          </c:tx>
          <c:spPr>
            <a:ln w="28575" cap="rnd">
              <a:solidFill>
                <a:schemeClr val="accent1"/>
              </a:solidFill>
              <a:round/>
            </a:ln>
            <a:effectLst/>
          </c:spPr>
          <c:marker>
            <c:symbol val="none"/>
          </c:marker>
          <c:cat>
            <c:strRef>
              <c:f>Pivot_Fuel_Month.!$A$4:$A$11</c:f>
              <c:strCache>
                <c:ptCount val="7"/>
                <c:pt idx="0">
                  <c:v>2024-10</c:v>
                </c:pt>
                <c:pt idx="1">
                  <c:v>2024-11</c:v>
                </c:pt>
                <c:pt idx="2">
                  <c:v>2024-12</c:v>
                </c:pt>
                <c:pt idx="3">
                  <c:v>2025-01</c:v>
                </c:pt>
                <c:pt idx="4">
                  <c:v>2025-02</c:v>
                </c:pt>
                <c:pt idx="5">
                  <c:v>2025-03</c:v>
                </c:pt>
                <c:pt idx="6">
                  <c:v>2025-04</c:v>
                </c:pt>
              </c:strCache>
            </c:strRef>
          </c:cat>
          <c:val>
            <c:numRef>
              <c:f>Pivot_Fuel_Month.!$B$4:$B$11</c:f>
              <c:numCache>
                <c:formatCode>General</c:formatCode>
                <c:ptCount val="7"/>
                <c:pt idx="0">
                  <c:v>821.94999999999982</c:v>
                </c:pt>
                <c:pt idx="1">
                  <c:v>840.85</c:v>
                </c:pt>
                <c:pt idx="2">
                  <c:v>903.05000000000018</c:v>
                </c:pt>
                <c:pt idx="3">
                  <c:v>840.02999999999986</c:v>
                </c:pt>
                <c:pt idx="4">
                  <c:v>829.00500000000011</c:v>
                </c:pt>
                <c:pt idx="5">
                  <c:v>809.71999999999991</c:v>
                </c:pt>
                <c:pt idx="6">
                  <c:v>404.58</c:v>
                </c:pt>
              </c:numCache>
            </c:numRef>
          </c:val>
          <c:smooth val="0"/>
          <c:extLst>
            <c:ext xmlns:c16="http://schemas.microsoft.com/office/drawing/2014/chart" uri="{C3380CC4-5D6E-409C-BE32-E72D297353CC}">
              <c16:uniqueId val="{00000000-F52C-4AD8-87E9-A53E230FD7AD}"/>
            </c:ext>
          </c:extLst>
        </c:ser>
        <c:dLbls>
          <c:showLegendKey val="0"/>
          <c:showVal val="0"/>
          <c:showCatName val="0"/>
          <c:showSerName val="0"/>
          <c:showPercent val="0"/>
          <c:showBubbleSize val="0"/>
        </c:dLbls>
        <c:smooth val="0"/>
        <c:axId val="1385536319"/>
        <c:axId val="1385537279"/>
      </c:lineChart>
      <c:catAx>
        <c:axId val="138553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537279"/>
        <c:crosses val="autoZero"/>
        <c:auto val="1"/>
        <c:lblAlgn val="ctr"/>
        <c:lblOffset val="100"/>
        <c:noMultiLvlLbl val="0"/>
      </c:catAx>
      <c:valAx>
        <c:axId val="138553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53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 Milage_Fuel_Analysis.xlsx]Pivot_Efficiency_Equip!PivotTable4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Pivot_Efficiency_Equip!$B$3</c:f>
              <c:strCache>
                <c:ptCount val="1"/>
                <c:pt idx="0">
                  <c:v>Total</c:v>
                </c:pt>
              </c:strCache>
            </c:strRef>
          </c:tx>
          <c:spPr>
            <a:solidFill>
              <a:schemeClr val="accent1"/>
            </a:solidFill>
            <a:ln>
              <a:noFill/>
            </a:ln>
            <a:effectLst/>
          </c:spPr>
          <c:invertIfNegative val="0"/>
          <c:cat>
            <c:strRef>
              <c:f>Pivot_Efficiency_Equip!$A$4:$A$10</c:f>
              <c:strCache>
                <c:ptCount val="6"/>
                <c:pt idx="0">
                  <c:v>Bobcat</c:v>
                </c:pt>
                <c:pt idx="1">
                  <c:v>Boom Lift</c:v>
                </c:pt>
                <c:pt idx="2">
                  <c:v>Forklift</c:v>
                </c:pt>
                <c:pt idx="3">
                  <c:v>Front End Loader</c:v>
                </c:pt>
                <c:pt idx="4">
                  <c:v>Mini Excavator</c:v>
                </c:pt>
                <c:pt idx="5">
                  <c:v>Welding Machine</c:v>
                </c:pt>
              </c:strCache>
            </c:strRef>
          </c:cat>
          <c:val>
            <c:numRef>
              <c:f>Pivot_Efficiency_Equip!$B$4:$B$10</c:f>
              <c:numCache>
                <c:formatCode>0.00</c:formatCode>
                <c:ptCount val="6"/>
                <c:pt idx="0">
                  <c:v>6.5408427991761329</c:v>
                </c:pt>
                <c:pt idx="1">
                  <c:v>7.1677922768283473</c:v>
                </c:pt>
                <c:pt idx="2">
                  <c:v>5.7944433771225485</c:v>
                </c:pt>
                <c:pt idx="3">
                  <c:v>8.1092385593084373</c:v>
                </c:pt>
                <c:pt idx="4">
                  <c:v>5.299468486051472</c:v>
                </c:pt>
                <c:pt idx="5">
                  <c:v>5.8951677316031263</c:v>
                </c:pt>
              </c:numCache>
            </c:numRef>
          </c:val>
          <c:extLst>
            <c:ext xmlns:c16="http://schemas.microsoft.com/office/drawing/2014/chart" uri="{C3380CC4-5D6E-409C-BE32-E72D297353CC}">
              <c16:uniqueId val="{00000000-0DF7-4D08-B2D5-D4C8AF664C2D}"/>
            </c:ext>
          </c:extLst>
        </c:ser>
        <c:dLbls>
          <c:showLegendKey val="0"/>
          <c:showVal val="0"/>
          <c:showCatName val="0"/>
          <c:showSerName val="0"/>
          <c:showPercent val="0"/>
          <c:showBubbleSize val="0"/>
        </c:dLbls>
        <c:gapWidth val="150"/>
        <c:overlap val="100"/>
        <c:axId val="1340234847"/>
        <c:axId val="1340237247"/>
      </c:barChart>
      <c:catAx>
        <c:axId val="134023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37247"/>
        <c:crosses val="autoZero"/>
        <c:auto val="1"/>
        <c:lblAlgn val="ctr"/>
        <c:lblOffset val="100"/>
        <c:noMultiLvlLbl val="0"/>
      </c:catAx>
      <c:valAx>
        <c:axId val="1340237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3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[Equipment_ Milage_Fuel_Analysis.xlsx]Pivot_Distance_Dept!PivotTable3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Pivot_Distance_Dept!$B$3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C8-4969-9211-FADA4044C4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C8-4969-9211-FADA4044C4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C8-4969-9211-FADA4044C47E}"/>
              </c:ext>
            </c:extLst>
          </c:dPt>
          <c:cat>
            <c:strRef>
              <c:f>Pivot_Distance_Dept!$A$4:$A$7</c:f>
              <c:strCache>
                <c:ptCount val="3"/>
                <c:pt idx="0">
                  <c:v>Maintenance</c:v>
                </c:pt>
                <c:pt idx="1">
                  <c:v>Operations</c:v>
                </c:pt>
                <c:pt idx="2">
                  <c:v>Yard</c:v>
                </c:pt>
              </c:strCache>
            </c:strRef>
          </c:cat>
          <c:val>
            <c:numRef>
              <c:f>Pivot_Distance_Dept!$B$4:$B$7</c:f>
              <c:numCache>
                <c:formatCode>General</c:formatCode>
                <c:ptCount val="3"/>
                <c:pt idx="0">
                  <c:v>2086</c:v>
                </c:pt>
                <c:pt idx="1">
                  <c:v>3014</c:v>
                </c:pt>
                <c:pt idx="2">
                  <c:v>2836</c:v>
                </c:pt>
              </c:numCache>
            </c:numRef>
          </c:val>
          <c:extLst>
            <c:ext xmlns:c16="http://schemas.microsoft.com/office/drawing/2014/chart" uri="{C3380CC4-5D6E-409C-BE32-E72D297353CC}">
              <c16:uniqueId val="{00000006-DFC8-4969-9211-FADA4044C4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10</xdr:row>
      <xdr:rowOff>0</xdr:rowOff>
    </xdr:from>
    <xdr:to>
      <xdr:col>9</xdr:col>
      <xdr:colOff>600075</xdr:colOff>
      <xdr:row>24</xdr:row>
      <xdr:rowOff>0</xdr:rowOff>
    </xdr:to>
    <xdr:graphicFrame macro="">
      <xdr:nvGraphicFramePr>
        <xdr:cNvPr id="2" name="Chart 1">
          <a:extLst>
            <a:ext uri="{FF2B5EF4-FFF2-40B4-BE49-F238E27FC236}">
              <a16:creationId xmlns:a16="http://schemas.microsoft.com/office/drawing/2014/main" id="{48B8900B-E550-46EB-B82E-E1EBA17CA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28</xdr:row>
      <xdr:rowOff>0</xdr:rowOff>
    </xdr:from>
    <xdr:to>
      <xdr:col>10</xdr:col>
      <xdr:colOff>14288</xdr:colOff>
      <xdr:row>41</xdr:row>
      <xdr:rowOff>180975</xdr:rowOff>
    </xdr:to>
    <xdr:graphicFrame macro="">
      <xdr:nvGraphicFramePr>
        <xdr:cNvPr id="3" name="Chart 2">
          <a:extLst>
            <a:ext uri="{FF2B5EF4-FFF2-40B4-BE49-F238E27FC236}">
              <a16:creationId xmlns:a16="http://schemas.microsoft.com/office/drawing/2014/main" id="{B9E9709E-409A-4D03-B1E8-BCA9ADB08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9</xdr:row>
      <xdr:rowOff>190499</xdr:rowOff>
    </xdr:from>
    <xdr:to>
      <xdr:col>18</xdr:col>
      <xdr:colOff>600075</xdr:colOff>
      <xdr:row>23</xdr:row>
      <xdr:rowOff>180974</xdr:rowOff>
    </xdr:to>
    <xdr:graphicFrame macro="">
      <xdr:nvGraphicFramePr>
        <xdr:cNvPr id="4" name="Chart 3">
          <a:extLst>
            <a:ext uri="{FF2B5EF4-FFF2-40B4-BE49-F238E27FC236}">
              <a16:creationId xmlns:a16="http://schemas.microsoft.com/office/drawing/2014/main" id="{8652CAA3-DC51-48BF-A183-6897F41E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609599</xdr:colOff>
      <xdr:row>27</xdr:row>
      <xdr:rowOff>180975</xdr:rowOff>
    </xdr:from>
    <xdr:to>
      <xdr:col>19</xdr:col>
      <xdr:colOff>47624</xdr:colOff>
      <xdr:row>42</xdr:row>
      <xdr:rowOff>9525</xdr:rowOff>
    </xdr:to>
    <xdr:graphicFrame macro="">
      <xdr:nvGraphicFramePr>
        <xdr:cNvPr id="5" name="Chart 4">
          <a:extLst>
            <a:ext uri="{FF2B5EF4-FFF2-40B4-BE49-F238E27FC236}">
              <a16:creationId xmlns:a16="http://schemas.microsoft.com/office/drawing/2014/main" id="{01799B59-C6A4-4E50-94EC-F4632F71E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85725</xdr:colOff>
      <xdr:row>8</xdr:row>
      <xdr:rowOff>0</xdr:rowOff>
    </xdr:from>
    <xdr:to>
      <xdr:col>2</xdr:col>
      <xdr:colOff>695325</xdr:colOff>
      <xdr:row>22</xdr:row>
      <xdr:rowOff>9525</xdr:rowOff>
    </xdr:to>
    <mc:AlternateContent xmlns:mc="http://schemas.openxmlformats.org/markup-compatibility/2006" xmlns:a14="http://schemas.microsoft.com/office/drawing/2010/main">
      <mc:Choice Requires="a14">
        <xdr:graphicFrame macro="">
          <xdr:nvGraphicFramePr>
            <xdr:cNvPr id="6" name="Equipment_Name">
              <a:extLst>
                <a:ext uri="{FF2B5EF4-FFF2-40B4-BE49-F238E27FC236}">
                  <a16:creationId xmlns:a16="http://schemas.microsoft.com/office/drawing/2014/main" id="{8E869CFA-8F90-4710-81FF-5024D9C9202B}"/>
                </a:ext>
              </a:extLst>
            </xdr:cNvPr>
            <xdr:cNvGraphicFramePr/>
          </xdr:nvGraphicFramePr>
          <xdr:xfrm>
            <a:off x="0" y="0"/>
            <a:ext cx="0" cy="0"/>
          </xdr:xfrm>
          <a:graphic>
            <a:graphicData uri="http://schemas.microsoft.com/office/drawing/2010/slicer">
              <sle:slicer xmlns:sle="http://schemas.microsoft.com/office/drawing/2010/slicer" name="Equipment_Name"/>
            </a:graphicData>
          </a:graphic>
        </xdr:graphicFrame>
      </mc:Choice>
      <mc:Fallback xmlns="">
        <xdr:sp macro="" textlink="">
          <xdr:nvSpPr>
            <xdr:cNvPr id="0" name=""/>
            <xdr:cNvSpPr>
              <a:spLocks noTextEdit="1"/>
            </xdr:cNvSpPr>
          </xdr:nvSpPr>
          <xdr:spPr>
            <a:xfrm>
              <a:off x="85725" y="1781175"/>
              <a:ext cx="1828800" cy="2676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 Store" refreshedDate="46042.624438773149" createdVersion="8" refreshedVersion="8" minRefreshableVersion="3" recordCount="200" xr:uid="{9CAD712C-117A-42E4-8DCE-BB9A29B49859}">
  <cacheSource type="worksheet">
    <worksheetSource name="MileageTable"/>
  </cacheSource>
  <cacheFields count="15">
    <cacheField name="Date" numFmtId="14">
      <sharedItems containsSemiMixedTypes="0" containsNonDate="0" containsDate="1" containsString="0" minDate="2024-10-01T00:00:00" maxDate="2025-04-19T00:00:00"/>
    </cacheField>
    <cacheField name="Equipment_Name" numFmtId="0">
      <sharedItems count="6">
        <s v="Mini Excavator"/>
        <s v="Forklift"/>
        <s v="Front End Loader"/>
        <s v="Bobcat"/>
        <s v="Welding Machine"/>
        <s v="Boom Lift"/>
      </sharedItems>
    </cacheField>
    <cacheField name="Equipment_ID" numFmtId="0">
      <sharedItems/>
    </cacheField>
    <cacheField name="Department" numFmtId="0">
      <sharedItems count="3">
        <s v="Maintenance"/>
        <s v="Yard"/>
        <s v="Operations"/>
      </sharedItems>
    </cacheField>
    <cacheField name="Odometer_Start" numFmtId="0">
      <sharedItems containsSemiMixedTypes="0" containsString="0" containsNumber="1" containsInteger="1" minValue="500" maxValue="4952"/>
    </cacheField>
    <cacheField name="Odometer_End" numFmtId="0">
      <sharedItems containsSemiMixedTypes="0" containsString="0" containsNumber="1" containsInteger="1" minValue="563" maxValue="5006"/>
    </cacheField>
    <cacheField name="Distance" numFmtId="0">
      <sharedItems containsSemiMixedTypes="0" containsString="0" containsNumber="1" containsInteger="1" minValue="5" maxValue="80"/>
    </cacheField>
    <cacheField name="Fuel_Liters" numFmtId="0">
      <sharedItems containsSemiMixedTypes="0" containsString="0" containsNumber="1" minValue="2.5" maxValue="12.5"/>
    </cacheField>
    <cacheField name="Fuel_Cost_per_Liter" numFmtId="0">
      <sharedItems containsSemiMixedTypes="0" containsString="0" containsNumber="1" minValue="3.2" maxValue="3.8"/>
    </cacheField>
    <cacheField name="Fuel_Cost_Total" numFmtId="0">
      <sharedItems containsSemiMixedTypes="0" containsString="0" containsNumber="1" minValue="8.0500000000000007" maxValue="46.875"/>
    </cacheField>
    <cacheField name="Driver_Name" numFmtId="0">
      <sharedItems/>
    </cacheField>
    <cacheField name="Month" numFmtId="0">
      <sharedItems count="7">
        <s v="2024-10"/>
        <s v="2024-11"/>
        <s v="2024-12"/>
        <s v="2025-01"/>
        <s v="2025-02"/>
        <s v="2025-03"/>
        <s v="2025-04"/>
      </sharedItems>
    </cacheField>
    <cacheField name="Year" numFmtId="0">
      <sharedItems containsSemiMixedTypes="0" containsString="0" containsNumber="1" containsInteger="1" minValue="2024" maxValue="2025"/>
    </cacheField>
    <cacheField name="Km_per_Liter" numFmtId="2">
      <sharedItems containsSemiMixedTypes="0" containsString="0" containsNumber="1" minValue="0.4" maxValue="31.6"/>
    </cacheField>
    <cacheField name="Usage_Category." numFmtId="0">
      <sharedItems/>
    </cacheField>
  </cacheFields>
  <extLst>
    <ext xmlns:x14="http://schemas.microsoft.com/office/spreadsheetml/2009/9/main" uri="{725AE2AE-9491-48be-B2B4-4EB974FC3084}">
      <x14:pivotCacheDefinition pivotCacheId="556887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10-01T00:00:00"/>
    <x v="0"/>
    <s v="ME6(10682709)"/>
    <x v="0"/>
    <n v="1186"/>
    <n v="1212"/>
    <n v="26"/>
    <n v="10"/>
    <n v="3.49"/>
    <n v="34.900000000000006"/>
    <s v="Jose"/>
    <x v="0"/>
    <n v="2024"/>
    <n v="2.6"/>
    <s v="Medium"/>
  </r>
  <r>
    <d v="2024-10-02T00:00:00"/>
    <x v="1"/>
    <s v="F7(217595AH)"/>
    <x v="1"/>
    <n v="620"/>
    <n v="675"/>
    <n v="55"/>
    <n v="10.5"/>
    <n v="3.77"/>
    <n v="39.585000000000001"/>
    <s v="Ahmed"/>
    <x v="0"/>
    <n v="2024"/>
    <n v="5.2380952380952381"/>
    <s v="Long"/>
  </r>
  <r>
    <d v="2024-10-03T00:00:00"/>
    <x v="2"/>
    <s v="FE1(10930360)"/>
    <x v="2"/>
    <n v="3778"/>
    <n v="3785"/>
    <n v="7"/>
    <n v="8.5"/>
    <n v="3.22"/>
    <n v="27.37"/>
    <s v="Maria"/>
    <x v="0"/>
    <n v="2024"/>
    <n v="0.82352941176470584"/>
    <s v="Short"/>
  </r>
  <r>
    <d v="2024-10-04T00:00:00"/>
    <x v="3"/>
    <s v="BC1(10931016)"/>
    <x v="1"/>
    <n v="1411"/>
    <n v="1475"/>
    <n v="64"/>
    <n v="5"/>
    <n v="3.64"/>
    <n v="18.2"/>
    <s v="Jose"/>
    <x v="0"/>
    <n v="2024"/>
    <n v="12.8"/>
    <s v="Long"/>
  </r>
  <r>
    <d v="2024-10-05T00:00:00"/>
    <x v="4"/>
    <s v="WM12(WD5-000729)"/>
    <x v="0"/>
    <n v="4023"/>
    <n v="4029"/>
    <n v="6"/>
    <n v="5.5"/>
    <n v="3.22"/>
    <n v="17.71"/>
    <s v="Ahmed"/>
    <x v="0"/>
    <n v="2024"/>
    <n v="1.0909090909090908"/>
    <s v="Short"/>
  </r>
  <r>
    <d v="2024-10-06T00:00:00"/>
    <x v="1"/>
    <s v="F7(217595AH)"/>
    <x v="0"/>
    <n v="4467"/>
    <n v="4518"/>
    <n v="51"/>
    <n v="9"/>
    <n v="3.29"/>
    <n v="29.61"/>
    <s v="Jose"/>
    <x v="0"/>
    <n v="2024"/>
    <n v="5.666666666666667"/>
    <s v="Long"/>
  </r>
  <r>
    <d v="2024-10-07T00:00:00"/>
    <x v="5"/>
    <s v="BL8(1047802)"/>
    <x v="1"/>
    <n v="1678"/>
    <n v="1727"/>
    <n v="49"/>
    <n v="4"/>
    <n v="3.2"/>
    <n v="12.8"/>
    <s v="Jose"/>
    <x v="0"/>
    <n v="2024"/>
    <n v="12.25"/>
    <s v="Medium"/>
  </r>
  <r>
    <d v="2024-10-08T00:00:00"/>
    <x v="3"/>
    <s v="BC1(10931016)"/>
    <x v="0"/>
    <n v="3451"/>
    <n v="3528"/>
    <n v="77"/>
    <n v="3"/>
    <n v="3.79"/>
    <n v="11.370000000000001"/>
    <s v="Jose"/>
    <x v="0"/>
    <n v="2024"/>
    <n v="25.666666666666668"/>
    <s v="Long"/>
  </r>
  <r>
    <d v="2024-10-09T00:00:00"/>
    <x v="4"/>
    <s v="WM12(WD5-000729)"/>
    <x v="0"/>
    <n v="3193"/>
    <n v="3226"/>
    <n v="33"/>
    <n v="8"/>
    <n v="3.64"/>
    <n v="29.12"/>
    <s v="Ahmed"/>
    <x v="0"/>
    <n v="2024"/>
    <n v="4.125"/>
    <s v="Medium"/>
  </r>
  <r>
    <d v="2024-10-10T00:00:00"/>
    <x v="2"/>
    <s v="FE1(10930360)"/>
    <x v="0"/>
    <n v="664"/>
    <n v="720"/>
    <n v="56"/>
    <n v="2.5"/>
    <n v="3.3"/>
    <n v="8.25"/>
    <s v="Ravi"/>
    <x v="0"/>
    <n v="2024"/>
    <n v="22.4"/>
    <s v="Long"/>
  </r>
  <r>
    <d v="2024-10-11T00:00:00"/>
    <x v="3"/>
    <s v="BC1(10931016)"/>
    <x v="0"/>
    <n v="1194"/>
    <n v="1201"/>
    <n v="7"/>
    <n v="10.5"/>
    <n v="3.24"/>
    <n v="34.020000000000003"/>
    <s v="Jose"/>
    <x v="0"/>
    <n v="2024"/>
    <n v="0.66666666666666663"/>
    <s v="Short"/>
  </r>
  <r>
    <d v="2024-10-12T00:00:00"/>
    <x v="1"/>
    <s v="F7(217595AH)"/>
    <x v="2"/>
    <n v="4793"/>
    <n v="4873"/>
    <n v="80"/>
    <n v="3.5"/>
    <n v="3.4"/>
    <n v="11.9"/>
    <s v="Maria"/>
    <x v="0"/>
    <n v="2024"/>
    <n v="22.857142857142858"/>
    <s v="Long"/>
  </r>
  <r>
    <d v="2024-10-13T00:00:00"/>
    <x v="5"/>
    <s v="BL8(1047802)"/>
    <x v="2"/>
    <n v="712"/>
    <n v="740"/>
    <n v="28"/>
    <n v="7.5"/>
    <n v="3.59"/>
    <n v="26.924999999999997"/>
    <s v="Ahmed"/>
    <x v="0"/>
    <n v="2024"/>
    <n v="3.7333333333333334"/>
    <s v="Medium"/>
  </r>
  <r>
    <d v="2024-10-14T00:00:00"/>
    <x v="3"/>
    <s v="BC1(10931016)"/>
    <x v="2"/>
    <n v="3818"/>
    <n v="3838"/>
    <n v="20"/>
    <n v="3"/>
    <n v="3.64"/>
    <n v="10.92"/>
    <s v="Maria"/>
    <x v="0"/>
    <n v="2024"/>
    <n v="6.666666666666667"/>
    <s v="Medium"/>
  </r>
  <r>
    <d v="2024-10-15T00:00:00"/>
    <x v="5"/>
    <s v="BL8(1047802)"/>
    <x v="2"/>
    <n v="1227"/>
    <n v="1247"/>
    <n v="20"/>
    <n v="11"/>
    <n v="3.5"/>
    <n v="38.5"/>
    <s v="Maria"/>
    <x v="0"/>
    <n v="2024"/>
    <n v="1.8181818181818181"/>
    <s v="Medium"/>
  </r>
  <r>
    <d v="2024-10-16T00:00:00"/>
    <x v="3"/>
    <s v="BC1(10931016)"/>
    <x v="2"/>
    <n v="647"/>
    <n v="704"/>
    <n v="57"/>
    <n v="8"/>
    <n v="3.76"/>
    <n v="30.08"/>
    <s v="Ahmed"/>
    <x v="0"/>
    <n v="2024"/>
    <n v="7.125"/>
    <s v="Long"/>
  </r>
  <r>
    <d v="2024-10-17T00:00:00"/>
    <x v="0"/>
    <s v="ME6(10682709)"/>
    <x v="2"/>
    <n v="3446"/>
    <n v="3518"/>
    <n v="72"/>
    <n v="5"/>
    <n v="3.35"/>
    <n v="16.75"/>
    <s v="Ravi"/>
    <x v="0"/>
    <n v="2024"/>
    <n v="14.4"/>
    <s v="Long"/>
  </r>
  <r>
    <d v="2024-10-18T00:00:00"/>
    <x v="4"/>
    <s v="WM12(WD5-000729)"/>
    <x v="2"/>
    <n v="1805"/>
    <n v="1836"/>
    <n v="31"/>
    <n v="5.5"/>
    <n v="3.32"/>
    <n v="18.259999999999998"/>
    <s v="Ravi"/>
    <x v="0"/>
    <n v="2024"/>
    <n v="5.6363636363636367"/>
    <s v="Medium"/>
  </r>
  <r>
    <d v="2024-10-19T00:00:00"/>
    <x v="3"/>
    <s v="BC1(10931016)"/>
    <x v="1"/>
    <n v="4158"/>
    <n v="4228"/>
    <n v="70"/>
    <n v="11"/>
    <n v="3.35"/>
    <n v="36.85"/>
    <s v="Jose"/>
    <x v="0"/>
    <n v="2024"/>
    <n v="6.3636363636363633"/>
    <s v="Long"/>
  </r>
  <r>
    <d v="2024-10-20T00:00:00"/>
    <x v="3"/>
    <s v="BC1(10931016)"/>
    <x v="2"/>
    <n v="1923"/>
    <n v="1968"/>
    <n v="45"/>
    <n v="5"/>
    <n v="3.2"/>
    <n v="16"/>
    <s v="Maria"/>
    <x v="0"/>
    <n v="2024"/>
    <n v="9"/>
    <s v="Medium"/>
  </r>
  <r>
    <d v="2024-10-21T00:00:00"/>
    <x v="2"/>
    <s v="FE1(10930360)"/>
    <x v="2"/>
    <n v="2493"/>
    <n v="2516"/>
    <n v="23"/>
    <n v="12"/>
    <n v="3.55"/>
    <n v="42.599999999999994"/>
    <s v="Maria"/>
    <x v="0"/>
    <n v="2024"/>
    <n v="1.9166666666666667"/>
    <s v="Medium"/>
  </r>
  <r>
    <d v="2024-10-22T00:00:00"/>
    <x v="4"/>
    <s v="WM12(WD5-000729)"/>
    <x v="2"/>
    <n v="1476"/>
    <n v="1534"/>
    <n v="58"/>
    <n v="10.5"/>
    <n v="3.62"/>
    <n v="38.01"/>
    <s v="Ahmed"/>
    <x v="0"/>
    <n v="2024"/>
    <n v="5.5238095238095237"/>
    <s v="Long"/>
  </r>
  <r>
    <d v="2024-10-23T00:00:00"/>
    <x v="2"/>
    <s v="FE1(10930360)"/>
    <x v="2"/>
    <n v="2886"/>
    <n v="2923"/>
    <n v="37"/>
    <n v="8.5"/>
    <n v="3.27"/>
    <n v="27.795000000000002"/>
    <s v="Jose"/>
    <x v="0"/>
    <n v="2024"/>
    <n v="4.3529411764705879"/>
    <s v="Medium"/>
  </r>
  <r>
    <d v="2024-10-24T00:00:00"/>
    <x v="0"/>
    <s v="ME6(10682709)"/>
    <x v="1"/>
    <n v="666"/>
    <n v="709"/>
    <n v="43"/>
    <n v="7.5"/>
    <n v="3.62"/>
    <n v="27.150000000000002"/>
    <s v="Ahmed"/>
    <x v="0"/>
    <n v="2024"/>
    <n v="5.7333333333333334"/>
    <s v="Medium"/>
  </r>
  <r>
    <d v="2024-10-25T00:00:00"/>
    <x v="3"/>
    <s v="BC1(10931016)"/>
    <x v="1"/>
    <n v="3133"/>
    <n v="3146"/>
    <n v="13"/>
    <n v="11.5"/>
    <n v="3.57"/>
    <n v="41.055"/>
    <s v="Ahmed"/>
    <x v="0"/>
    <n v="2024"/>
    <n v="1.1304347826086956"/>
    <s v="Short"/>
  </r>
  <r>
    <d v="2024-10-26T00:00:00"/>
    <x v="5"/>
    <s v="BL8(1047802)"/>
    <x v="2"/>
    <n v="4123"/>
    <n v="4157"/>
    <n v="34"/>
    <n v="6"/>
    <n v="3.69"/>
    <n v="22.14"/>
    <s v="Jose"/>
    <x v="0"/>
    <n v="2024"/>
    <n v="5.666666666666667"/>
    <s v="Medium"/>
  </r>
  <r>
    <d v="2024-10-27T00:00:00"/>
    <x v="4"/>
    <s v="WM12(WD5-000729)"/>
    <x v="2"/>
    <n v="4286"/>
    <n v="4337"/>
    <n v="51"/>
    <n v="6.5"/>
    <n v="3.4"/>
    <n v="22.099999999999998"/>
    <s v="Ravi"/>
    <x v="0"/>
    <n v="2024"/>
    <n v="7.8461538461538458"/>
    <s v="Long"/>
  </r>
  <r>
    <d v="2024-10-28T00:00:00"/>
    <x v="1"/>
    <s v="F7(217595AH)"/>
    <x v="1"/>
    <n v="4484"/>
    <n v="4491"/>
    <n v="7"/>
    <n v="12.5"/>
    <n v="3.71"/>
    <n v="46.375"/>
    <s v="Ahmed"/>
    <x v="0"/>
    <n v="2024"/>
    <n v="0.56000000000000005"/>
    <s v="Short"/>
  </r>
  <r>
    <d v="2024-10-29T00:00:00"/>
    <x v="4"/>
    <s v="WM12(WD5-000729)"/>
    <x v="2"/>
    <n v="4245"/>
    <n v="4296"/>
    <n v="51"/>
    <n v="10.5"/>
    <n v="3.3"/>
    <n v="34.65"/>
    <s v="Ravi"/>
    <x v="0"/>
    <n v="2024"/>
    <n v="4.8571428571428568"/>
    <s v="Long"/>
  </r>
  <r>
    <d v="2024-10-30T00:00:00"/>
    <x v="4"/>
    <s v="WM12(WD5-000729)"/>
    <x v="1"/>
    <n v="1500"/>
    <n v="1536"/>
    <n v="36"/>
    <n v="4"/>
    <n v="3.51"/>
    <n v="14.04"/>
    <s v="Ahmed"/>
    <x v="0"/>
    <n v="2024"/>
    <n v="9"/>
    <s v="Medium"/>
  </r>
  <r>
    <d v="2024-10-31T00:00:00"/>
    <x v="1"/>
    <s v="F7(217595AH)"/>
    <x v="0"/>
    <n v="1307"/>
    <n v="1347"/>
    <n v="40"/>
    <n v="11.5"/>
    <n v="3.21"/>
    <n v="36.914999999999999"/>
    <s v="Maria"/>
    <x v="0"/>
    <n v="2024"/>
    <n v="3.4782608695652173"/>
    <s v="Medium"/>
  </r>
  <r>
    <d v="2024-11-01T00:00:00"/>
    <x v="5"/>
    <s v="BL8(1047802)"/>
    <x v="1"/>
    <n v="500"/>
    <n v="580"/>
    <n v="80"/>
    <n v="6.5"/>
    <n v="3.27"/>
    <n v="21.254999999999999"/>
    <s v="Jose"/>
    <x v="1"/>
    <n v="2024"/>
    <n v="12.307692307692308"/>
    <s v="Long"/>
  </r>
  <r>
    <d v="2024-11-02T00:00:00"/>
    <x v="2"/>
    <s v="FE1(10930360)"/>
    <x v="2"/>
    <n v="3265"/>
    <n v="3279"/>
    <n v="14"/>
    <n v="7"/>
    <n v="3.68"/>
    <n v="25.76"/>
    <s v="Ahmed"/>
    <x v="1"/>
    <n v="2024"/>
    <n v="2"/>
    <s v="Short"/>
  </r>
  <r>
    <d v="2024-11-03T00:00:00"/>
    <x v="1"/>
    <s v="F7(217595AH)"/>
    <x v="0"/>
    <n v="2613"/>
    <n v="2651"/>
    <n v="38"/>
    <n v="11.5"/>
    <n v="3.38"/>
    <n v="38.869999999999997"/>
    <s v="Jose"/>
    <x v="1"/>
    <n v="2024"/>
    <n v="3.3043478260869565"/>
    <s v="Medium"/>
  </r>
  <r>
    <d v="2024-11-04T00:00:00"/>
    <x v="5"/>
    <s v="BL8(1047802)"/>
    <x v="1"/>
    <n v="4266"/>
    <n v="4273"/>
    <n v="7"/>
    <n v="8.5"/>
    <n v="3.59"/>
    <n v="30.515000000000001"/>
    <s v="Ahmed"/>
    <x v="1"/>
    <n v="2024"/>
    <n v="0.82352941176470584"/>
    <s v="Short"/>
  </r>
  <r>
    <d v="2024-11-05T00:00:00"/>
    <x v="2"/>
    <s v="FE1(10930360)"/>
    <x v="2"/>
    <n v="2033"/>
    <n v="2039"/>
    <n v="6"/>
    <n v="6.5"/>
    <n v="3.53"/>
    <n v="22.945"/>
    <s v="Maria"/>
    <x v="1"/>
    <n v="2024"/>
    <n v="0.92307692307692313"/>
    <s v="Short"/>
  </r>
  <r>
    <d v="2024-11-06T00:00:00"/>
    <x v="0"/>
    <s v="ME6(10682709)"/>
    <x v="1"/>
    <n v="2591"/>
    <n v="2606"/>
    <n v="15"/>
    <n v="10"/>
    <n v="3.63"/>
    <n v="36.299999999999997"/>
    <s v="Ravi"/>
    <x v="1"/>
    <n v="2024"/>
    <n v="1.5"/>
    <s v="Short"/>
  </r>
  <r>
    <d v="2024-11-07T00:00:00"/>
    <x v="3"/>
    <s v="BC1(10931016)"/>
    <x v="2"/>
    <n v="4790"/>
    <n v="4811"/>
    <n v="21"/>
    <n v="7"/>
    <n v="3.31"/>
    <n v="23.17"/>
    <s v="Jose"/>
    <x v="1"/>
    <n v="2024"/>
    <n v="3"/>
    <s v="Medium"/>
  </r>
  <r>
    <d v="2024-11-08T00:00:00"/>
    <x v="4"/>
    <s v="WM12(WD5-000729)"/>
    <x v="1"/>
    <n v="1712"/>
    <n v="1732"/>
    <n v="20"/>
    <n v="11.5"/>
    <n v="3.72"/>
    <n v="42.78"/>
    <s v="Ravi"/>
    <x v="1"/>
    <n v="2024"/>
    <n v="1.7391304347826086"/>
    <s v="Medium"/>
  </r>
  <r>
    <d v="2024-11-09T00:00:00"/>
    <x v="4"/>
    <s v="WM12(WD5-000729)"/>
    <x v="2"/>
    <n v="3458"/>
    <n v="3463"/>
    <n v="5"/>
    <n v="12.5"/>
    <n v="3.71"/>
    <n v="46.375"/>
    <s v="Ahmed"/>
    <x v="1"/>
    <n v="2024"/>
    <n v="0.4"/>
    <s v="Short"/>
  </r>
  <r>
    <d v="2024-11-10T00:00:00"/>
    <x v="4"/>
    <s v="WM12(WD5-000729)"/>
    <x v="2"/>
    <n v="4452"/>
    <n v="4471"/>
    <n v="19"/>
    <n v="6"/>
    <n v="3.45"/>
    <n v="20.700000000000003"/>
    <s v="Ahmed"/>
    <x v="1"/>
    <n v="2024"/>
    <n v="3.1666666666666665"/>
    <s v="Short"/>
  </r>
  <r>
    <d v="2024-11-11T00:00:00"/>
    <x v="3"/>
    <s v="BC1(10931016)"/>
    <x v="0"/>
    <n v="3956"/>
    <n v="3975"/>
    <n v="19"/>
    <n v="8"/>
    <n v="3.5"/>
    <n v="28"/>
    <s v="Ahmed"/>
    <x v="1"/>
    <n v="2024"/>
    <n v="2.375"/>
    <s v="Short"/>
  </r>
  <r>
    <d v="2024-11-12T00:00:00"/>
    <x v="3"/>
    <s v="BC1(10931016)"/>
    <x v="1"/>
    <n v="3302"/>
    <n v="3319"/>
    <n v="17"/>
    <n v="4.5"/>
    <n v="3.45"/>
    <n v="15.525"/>
    <s v="Ravi"/>
    <x v="1"/>
    <n v="2024"/>
    <n v="3.7777777777777777"/>
    <s v="Short"/>
  </r>
  <r>
    <d v="2024-11-13T00:00:00"/>
    <x v="1"/>
    <s v="F7(217595AH)"/>
    <x v="0"/>
    <n v="2214"/>
    <n v="2240"/>
    <n v="26"/>
    <n v="4.5"/>
    <n v="3.61"/>
    <n v="16.245000000000001"/>
    <s v="Maria"/>
    <x v="1"/>
    <n v="2024"/>
    <n v="5.7777777777777777"/>
    <s v="Medium"/>
  </r>
  <r>
    <d v="2024-11-14T00:00:00"/>
    <x v="0"/>
    <s v="ME6(10682709)"/>
    <x v="1"/>
    <n v="2777"/>
    <n v="2844"/>
    <n v="67"/>
    <n v="10.5"/>
    <n v="3.6"/>
    <n v="37.800000000000004"/>
    <s v="Ahmed"/>
    <x v="1"/>
    <n v="2024"/>
    <n v="6.3809523809523814"/>
    <s v="Long"/>
  </r>
  <r>
    <d v="2024-11-15T00:00:00"/>
    <x v="1"/>
    <s v="F7(217595AH)"/>
    <x v="0"/>
    <n v="2761"/>
    <n v="2777"/>
    <n v="16"/>
    <n v="9.5"/>
    <n v="3.77"/>
    <n v="35.814999999999998"/>
    <s v="Ahmed"/>
    <x v="1"/>
    <n v="2024"/>
    <n v="1.6842105263157894"/>
    <s v="Short"/>
  </r>
  <r>
    <d v="2024-11-16T00:00:00"/>
    <x v="4"/>
    <s v="WM12(WD5-000729)"/>
    <x v="2"/>
    <n v="2245"/>
    <n v="2276"/>
    <n v="31"/>
    <n v="11.5"/>
    <n v="3.6"/>
    <n v="41.4"/>
    <s v="Jose"/>
    <x v="1"/>
    <n v="2024"/>
    <n v="2.6956521739130435"/>
    <s v="Medium"/>
  </r>
  <r>
    <d v="2024-11-17T00:00:00"/>
    <x v="5"/>
    <s v="BL8(1047802)"/>
    <x v="0"/>
    <n v="1813"/>
    <n v="1853"/>
    <n v="40"/>
    <n v="8"/>
    <n v="3.37"/>
    <n v="26.96"/>
    <s v="Jose"/>
    <x v="1"/>
    <n v="2024"/>
    <n v="5"/>
    <s v="Medium"/>
  </r>
  <r>
    <d v="2024-11-18T00:00:00"/>
    <x v="2"/>
    <s v="FE1(10930360)"/>
    <x v="0"/>
    <n v="3641"/>
    <n v="3669"/>
    <n v="28"/>
    <n v="5.5"/>
    <n v="3.52"/>
    <n v="19.36"/>
    <s v="Ahmed"/>
    <x v="1"/>
    <n v="2024"/>
    <n v="5.0909090909090908"/>
    <s v="Medium"/>
  </r>
  <r>
    <d v="2024-11-19T00:00:00"/>
    <x v="4"/>
    <s v="WM12(WD5-000729)"/>
    <x v="1"/>
    <n v="621"/>
    <n v="684"/>
    <n v="63"/>
    <n v="10"/>
    <n v="3.52"/>
    <n v="35.200000000000003"/>
    <s v="Ravi"/>
    <x v="1"/>
    <n v="2024"/>
    <n v="6.3"/>
    <s v="Long"/>
  </r>
  <r>
    <d v="2024-11-20T00:00:00"/>
    <x v="1"/>
    <s v="F7(217595AH)"/>
    <x v="2"/>
    <n v="984"/>
    <n v="1004"/>
    <n v="20"/>
    <n v="11"/>
    <n v="3.25"/>
    <n v="35.75"/>
    <s v="Ahmed"/>
    <x v="1"/>
    <n v="2024"/>
    <n v="1.8181818181818181"/>
    <s v="Medium"/>
  </r>
  <r>
    <d v="2024-11-21T00:00:00"/>
    <x v="1"/>
    <s v="F7(217595AH)"/>
    <x v="2"/>
    <n v="2152"/>
    <n v="2157"/>
    <n v="5"/>
    <n v="2.5"/>
    <n v="3.23"/>
    <n v="8.0749999999999993"/>
    <s v="Ahmed"/>
    <x v="1"/>
    <n v="2024"/>
    <n v="2"/>
    <s v="Short"/>
  </r>
  <r>
    <d v="2024-11-22T00:00:00"/>
    <x v="2"/>
    <s v="FE1(10930360)"/>
    <x v="0"/>
    <n v="2835"/>
    <n v="2900"/>
    <n v="65"/>
    <n v="6"/>
    <n v="3.57"/>
    <n v="21.419999999999998"/>
    <s v="Ahmed"/>
    <x v="1"/>
    <n v="2024"/>
    <n v="10.833333333333334"/>
    <s v="Long"/>
  </r>
  <r>
    <d v="2024-11-23T00:00:00"/>
    <x v="5"/>
    <s v="BL8(1047802)"/>
    <x v="0"/>
    <n v="4067"/>
    <n v="4095"/>
    <n v="28"/>
    <n v="6.5"/>
    <n v="3.37"/>
    <n v="21.905000000000001"/>
    <s v="Ravi"/>
    <x v="1"/>
    <n v="2024"/>
    <n v="4.3076923076923075"/>
    <s v="Medium"/>
  </r>
  <r>
    <d v="2024-11-24T00:00:00"/>
    <x v="1"/>
    <s v="F7(217595AH)"/>
    <x v="0"/>
    <n v="1974"/>
    <n v="2011"/>
    <n v="37"/>
    <n v="5"/>
    <n v="3.3"/>
    <n v="16.5"/>
    <s v="Ravi"/>
    <x v="1"/>
    <n v="2024"/>
    <n v="7.4"/>
    <s v="Medium"/>
  </r>
  <r>
    <d v="2024-11-25T00:00:00"/>
    <x v="0"/>
    <s v="ME6(10682709)"/>
    <x v="2"/>
    <n v="2938"/>
    <n v="3000"/>
    <n v="62"/>
    <n v="8"/>
    <n v="3.34"/>
    <n v="26.72"/>
    <s v="Ahmed"/>
    <x v="1"/>
    <n v="2024"/>
    <n v="7.75"/>
    <s v="Long"/>
  </r>
  <r>
    <d v="2024-11-26T00:00:00"/>
    <x v="0"/>
    <s v="ME6(10682709)"/>
    <x v="1"/>
    <n v="3415"/>
    <n v="3440"/>
    <n v="25"/>
    <n v="10"/>
    <n v="3.67"/>
    <n v="36.700000000000003"/>
    <s v="Ravi"/>
    <x v="1"/>
    <n v="2024"/>
    <n v="2.5"/>
    <s v="Medium"/>
  </r>
  <r>
    <d v="2024-11-27T00:00:00"/>
    <x v="4"/>
    <s v="WM12(WD5-000729)"/>
    <x v="1"/>
    <n v="3733"/>
    <n v="3776"/>
    <n v="43"/>
    <n v="2.5"/>
    <n v="3.22"/>
    <n v="8.0500000000000007"/>
    <s v="Ahmed"/>
    <x v="1"/>
    <n v="2024"/>
    <n v="17.2"/>
    <s v="Medium"/>
  </r>
  <r>
    <d v="2024-11-28T00:00:00"/>
    <x v="0"/>
    <s v="ME6(10682709)"/>
    <x v="0"/>
    <n v="4327"/>
    <n v="4404"/>
    <n v="77"/>
    <n v="12"/>
    <n v="3.78"/>
    <n v="45.36"/>
    <s v="Maria"/>
    <x v="1"/>
    <n v="2024"/>
    <n v="6.416666666666667"/>
    <s v="Long"/>
  </r>
  <r>
    <d v="2024-11-29T00:00:00"/>
    <x v="5"/>
    <s v="BL8(1047802)"/>
    <x v="0"/>
    <n v="4104"/>
    <n v="4113"/>
    <n v="9"/>
    <n v="4"/>
    <n v="3.47"/>
    <n v="13.88"/>
    <s v="Jose"/>
    <x v="1"/>
    <n v="2024"/>
    <n v="2.25"/>
    <s v="Short"/>
  </r>
  <r>
    <d v="2024-11-30T00:00:00"/>
    <x v="5"/>
    <s v="BL8(1047802)"/>
    <x v="2"/>
    <n v="2915"/>
    <n v="2964"/>
    <n v="49"/>
    <n v="11.5"/>
    <n v="3.61"/>
    <n v="41.515000000000001"/>
    <s v="Maria"/>
    <x v="1"/>
    <n v="2024"/>
    <n v="4.2608695652173916"/>
    <s v="Medium"/>
  </r>
  <r>
    <d v="2024-12-01T00:00:00"/>
    <x v="0"/>
    <s v="ME6(10682709)"/>
    <x v="0"/>
    <n v="2059"/>
    <n v="2098"/>
    <n v="39"/>
    <n v="12"/>
    <n v="3.3"/>
    <n v="39.599999999999994"/>
    <s v="Ravi"/>
    <x v="2"/>
    <n v="2024"/>
    <n v="3.25"/>
    <s v="Medium"/>
  </r>
  <r>
    <d v="2024-12-02T00:00:00"/>
    <x v="5"/>
    <s v="BL8(1047802)"/>
    <x v="0"/>
    <n v="1821"/>
    <n v="1872"/>
    <n v="51"/>
    <n v="8"/>
    <n v="3.71"/>
    <n v="29.68"/>
    <s v="Maria"/>
    <x v="2"/>
    <n v="2024"/>
    <n v="6.375"/>
    <s v="Long"/>
  </r>
  <r>
    <d v="2024-12-03T00:00:00"/>
    <x v="0"/>
    <s v="ME6(10682709)"/>
    <x v="2"/>
    <n v="2776"/>
    <n v="2826"/>
    <n v="50"/>
    <n v="10.5"/>
    <n v="3.6"/>
    <n v="37.800000000000004"/>
    <s v="Ahmed"/>
    <x v="2"/>
    <n v="2024"/>
    <n v="4.7619047619047619"/>
    <s v="Medium"/>
  </r>
  <r>
    <d v="2024-12-04T00:00:00"/>
    <x v="4"/>
    <s v="WM12(WD5-000729)"/>
    <x v="1"/>
    <n v="1649"/>
    <n v="1687"/>
    <n v="38"/>
    <n v="8"/>
    <n v="3.7"/>
    <n v="29.6"/>
    <s v="Ravi"/>
    <x v="2"/>
    <n v="2024"/>
    <n v="4.75"/>
    <s v="Medium"/>
  </r>
  <r>
    <d v="2024-12-05T00:00:00"/>
    <x v="3"/>
    <s v="BC1(10931016)"/>
    <x v="1"/>
    <n v="689"/>
    <n v="732"/>
    <n v="43"/>
    <n v="5"/>
    <n v="3.23"/>
    <n v="16.149999999999999"/>
    <s v="Ahmed"/>
    <x v="2"/>
    <n v="2024"/>
    <n v="8.6"/>
    <s v="Medium"/>
  </r>
  <r>
    <d v="2024-12-06T00:00:00"/>
    <x v="3"/>
    <s v="BC1(10931016)"/>
    <x v="2"/>
    <n v="3748"/>
    <n v="3753"/>
    <n v="5"/>
    <n v="12"/>
    <n v="3.72"/>
    <n v="44.64"/>
    <s v="Jose"/>
    <x v="2"/>
    <n v="2024"/>
    <n v="0.41666666666666669"/>
    <s v="Short"/>
  </r>
  <r>
    <d v="2024-12-07T00:00:00"/>
    <x v="3"/>
    <s v="BC1(10931016)"/>
    <x v="2"/>
    <n v="1589"/>
    <n v="1651"/>
    <n v="62"/>
    <n v="7.5"/>
    <n v="3.79"/>
    <n v="28.425000000000001"/>
    <s v="Ahmed"/>
    <x v="2"/>
    <n v="2024"/>
    <n v="8.2666666666666675"/>
    <s v="Long"/>
  </r>
  <r>
    <d v="2024-12-08T00:00:00"/>
    <x v="4"/>
    <s v="WM12(WD5-000729)"/>
    <x v="0"/>
    <n v="3485"/>
    <n v="3525"/>
    <n v="40"/>
    <n v="12"/>
    <n v="3.34"/>
    <n v="40.08"/>
    <s v="Maria"/>
    <x v="2"/>
    <n v="2024"/>
    <n v="3.3333333333333335"/>
    <s v="Medium"/>
  </r>
  <r>
    <d v="2024-12-09T00:00:00"/>
    <x v="5"/>
    <s v="BL8(1047802)"/>
    <x v="0"/>
    <n v="3811"/>
    <n v="3820"/>
    <n v="9"/>
    <n v="9.5"/>
    <n v="3.71"/>
    <n v="35.244999999999997"/>
    <s v="Ravi"/>
    <x v="2"/>
    <n v="2024"/>
    <n v="0.94736842105263153"/>
    <s v="Short"/>
  </r>
  <r>
    <d v="2024-12-10T00:00:00"/>
    <x v="0"/>
    <s v="ME6(10682709)"/>
    <x v="1"/>
    <n v="2510"/>
    <n v="2554"/>
    <n v="44"/>
    <n v="12"/>
    <n v="3.26"/>
    <n v="39.119999999999997"/>
    <s v="Maria"/>
    <x v="2"/>
    <n v="2024"/>
    <n v="3.6666666666666665"/>
    <s v="Medium"/>
  </r>
  <r>
    <d v="2024-12-11T00:00:00"/>
    <x v="3"/>
    <s v="BC1(10931016)"/>
    <x v="1"/>
    <n v="4726"/>
    <n v="4803"/>
    <n v="77"/>
    <n v="3"/>
    <n v="3.52"/>
    <n v="10.56"/>
    <s v="Jose"/>
    <x v="2"/>
    <n v="2024"/>
    <n v="25.666666666666668"/>
    <s v="Long"/>
  </r>
  <r>
    <d v="2024-12-12T00:00:00"/>
    <x v="3"/>
    <s v="BC1(10931016)"/>
    <x v="2"/>
    <n v="4890"/>
    <n v="4906"/>
    <n v="16"/>
    <n v="6.5"/>
    <n v="3.32"/>
    <n v="21.58"/>
    <s v="Ahmed"/>
    <x v="2"/>
    <n v="2024"/>
    <n v="2.4615384615384617"/>
    <s v="Short"/>
  </r>
  <r>
    <d v="2024-12-13T00:00:00"/>
    <x v="0"/>
    <s v="ME6(10682709)"/>
    <x v="0"/>
    <n v="1723"/>
    <n v="1741"/>
    <n v="18"/>
    <n v="4"/>
    <n v="3.26"/>
    <n v="13.04"/>
    <s v="Maria"/>
    <x v="2"/>
    <n v="2024"/>
    <n v="4.5"/>
    <s v="Short"/>
  </r>
  <r>
    <d v="2024-12-14T00:00:00"/>
    <x v="5"/>
    <s v="BL8(1047802)"/>
    <x v="0"/>
    <n v="2780"/>
    <n v="2854"/>
    <n v="74"/>
    <n v="11"/>
    <n v="3.46"/>
    <n v="38.06"/>
    <s v="Maria"/>
    <x v="2"/>
    <n v="2024"/>
    <n v="6.7272727272727275"/>
    <s v="Long"/>
  </r>
  <r>
    <d v="2024-12-15T00:00:00"/>
    <x v="3"/>
    <s v="BC1(10931016)"/>
    <x v="1"/>
    <n v="1876"/>
    <n v="1888"/>
    <n v="12"/>
    <n v="3.5"/>
    <n v="3.77"/>
    <n v="13.195"/>
    <s v="Ravi"/>
    <x v="2"/>
    <n v="2024"/>
    <n v="3.4285714285714284"/>
    <s v="Short"/>
  </r>
  <r>
    <d v="2024-12-16T00:00:00"/>
    <x v="4"/>
    <s v="WM12(WD5-000729)"/>
    <x v="1"/>
    <n v="684"/>
    <n v="716"/>
    <n v="32"/>
    <n v="8"/>
    <n v="3.4"/>
    <n v="27.2"/>
    <s v="Maria"/>
    <x v="2"/>
    <n v="2024"/>
    <n v="4"/>
    <s v="Medium"/>
  </r>
  <r>
    <d v="2024-12-17T00:00:00"/>
    <x v="1"/>
    <s v="F7(217595AH)"/>
    <x v="0"/>
    <n v="2050"/>
    <n v="2060"/>
    <n v="10"/>
    <n v="5.5"/>
    <n v="3.58"/>
    <n v="19.690000000000001"/>
    <s v="Maria"/>
    <x v="2"/>
    <n v="2024"/>
    <n v="1.8181818181818181"/>
    <s v="Short"/>
  </r>
  <r>
    <d v="2024-12-18T00:00:00"/>
    <x v="4"/>
    <s v="WM12(WD5-000729)"/>
    <x v="0"/>
    <n v="4724"/>
    <n v="4781"/>
    <n v="57"/>
    <n v="3.5"/>
    <n v="3.58"/>
    <n v="12.530000000000001"/>
    <s v="Maria"/>
    <x v="2"/>
    <n v="2024"/>
    <n v="16.285714285714285"/>
    <s v="Long"/>
  </r>
  <r>
    <d v="2024-12-19T00:00:00"/>
    <x v="0"/>
    <s v="ME6(10682709)"/>
    <x v="1"/>
    <n v="2463"/>
    <n v="2479"/>
    <n v="16"/>
    <n v="10"/>
    <n v="3.62"/>
    <n v="36.200000000000003"/>
    <s v="Ahmed"/>
    <x v="2"/>
    <n v="2024"/>
    <n v="1.6"/>
    <s v="Short"/>
  </r>
  <r>
    <d v="2024-12-20T00:00:00"/>
    <x v="4"/>
    <s v="WM12(WD5-000729)"/>
    <x v="1"/>
    <n v="3676"/>
    <n v="3720"/>
    <n v="44"/>
    <n v="12"/>
    <n v="3.75"/>
    <n v="45"/>
    <s v="Ahmed"/>
    <x v="2"/>
    <n v="2024"/>
    <n v="3.6666666666666665"/>
    <s v="Medium"/>
  </r>
  <r>
    <d v="2024-12-21T00:00:00"/>
    <x v="2"/>
    <s v="FE1(10930360)"/>
    <x v="1"/>
    <n v="2988"/>
    <n v="3014"/>
    <n v="26"/>
    <n v="8.5"/>
    <n v="3.75"/>
    <n v="31.875"/>
    <s v="Ahmed"/>
    <x v="2"/>
    <n v="2024"/>
    <n v="3.0588235294117645"/>
    <s v="Medium"/>
  </r>
  <r>
    <d v="2024-12-22T00:00:00"/>
    <x v="5"/>
    <s v="BL8(1047802)"/>
    <x v="0"/>
    <n v="2212"/>
    <n v="2220"/>
    <n v="8"/>
    <n v="11"/>
    <n v="3.75"/>
    <n v="41.25"/>
    <s v="Ahmed"/>
    <x v="2"/>
    <n v="2024"/>
    <n v="0.72727272727272729"/>
    <s v="Short"/>
  </r>
  <r>
    <d v="2024-12-23T00:00:00"/>
    <x v="1"/>
    <s v="F7(217595AH)"/>
    <x v="0"/>
    <n v="4706"/>
    <n v="4769"/>
    <n v="63"/>
    <n v="12"/>
    <n v="3.63"/>
    <n v="43.56"/>
    <s v="Ahmed"/>
    <x v="2"/>
    <n v="2024"/>
    <n v="5.25"/>
    <s v="Long"/>
  </r>
  <r>
    <d v="2024-12-24T00:00:00"/>
    <x v="0"/>
    <s v="ME6(10682709)"/>
    <x v="2"/>
    <n v="2965"/>
    <n v="2994"/>
    <n v="29"/>
    <n v="12"/>
    <n v="3.78"/>
    <n v="45.36"/>
    <s v="Ravi"/>
    <x v="2"/>
    <n v="2024"/>
    <n v="2.4166666666666665"/>
    <s v="Medium"/>
  </r>
  <r>
    <d v="2024-12-25T00:00:00"/>
    <x v="3"/>
    <s v="BC1(10931016)"/>
    <x v="2"/>
    <n v="2100"/>
    <n v="2139"/>
    <n v="39"/>
    <n v="5.5"/>
    <n v="3.45"/>
    <n v="18.975000000000001"/>
    <s v="Ravi"/>
    <x v="2"/>
    <n v="2024"/>
    <n v="7.0909090909090908"/>
    <s v="Medium"/>
  </r>
  <r>
    <d v="2024-12-26T00:00:00"/>
    <x v="1"/>
    <s v="F7(217595AH)"/>
    <x v="1"/>
    <n v="3400"/>
    <n v="3448"/>
    <n v="48"/>
    <n v="4.5"/>
    <n v="3.37"/>
    <n v="15.165000000000001"/>
    <s v="Ravi"/>
    <x v="2"/>
    <n v="2024"/>
    <n v="10.666666666666666"/>
    <s v="Medium"/>
  </r>
  <r>
    <d v="2024-12-27T00:00:00"/>
    <x v="0"/>
    <s v="ME6(10682709)"/>
    <x v="0"/>
    <n v="2924"/>
    <n v="2973"/>
    <n v="49"/>
    <n v="11.5"/>
    <n v="3.43"/>
    <n v="39.445"/>
    <s v="Jose"/>
    <x v="2"/>
    <n v="2024"/>
    <n v="4.2608695652173916"/>
    <s v="Medium"/>
  </r>
  <r>
    <d v="2024-12-28T00:00:00"/>
    <x v="4"/>
    <s v="WM12(WD5-000729)"/>
    <x v="2"/>
    <n v="3208"/>
    <n v="3227"/>
    <n v="19"/>
    <n v="5.5"/>
    <n v="3.51"/>
    <n v="19.305"/>
    <s v="Ahmed"/>
    <x v="2"/>
    <n v="2024"/>
    <n v="3.4545454545454546"/>
    <s v="Short"/>
  </r>
  <r>
    <d v="2024-12-29T00:00:00"/>
    <x v="3"/>
    <s v="BC1(10931016)"/>
    <x v="2"/>
    <n v="4866"/>
    <n v="4911"/>
    <n v="45"/>
    <n v="6.5"/>
    <n v="3.59"/>
    <n v="23.335000000000001"/>
    <s v="Ravi"/>
    <x v="2"/>
    <n v="2024"/>
    <n v="6.9230769230769234"/>
    <s v="Medium"/>
  </r>
  <r>
    <d v="2024-12-30T00:00:00"/>
    <x v="3"/>
    <s v="BC1(10931016)"/>
    <x v="1"/>
    <n v="2047"/>
    <n v="2096"/>
    <n v="49"/>
    <n v="4.5"/>
    <n v="3.53"/>
    <n v="15.885"/>
    <s v="Jose"/>
    <x v="2"/>
    <n v="2024"/>
    <n v="10.888888888888889"/>
    <s v="Medium"/>
  </r>
  <r>
    <d v="2024-12-31T00:00:00"/>
    <x v="4"/>
    <s v="WM12(WD5-000729)"/>
    <x v="0"/>
    <n v="1863"/>
    <n v="1883"/>
    <n v="20"/>
    <n v="9"/>
    <n v="3.5"/>
    <n v="31.5"/>
    <s v="Ravi"/>
    <x v="2"/>
    <n v="2024"/>
    <n v="2.2222222222222223"/>
    <s v="Medium"/>
  </r>
  <r>
    <d v="2025-01-01T00:00:00"/>
    <x v="4"/>
    <s v="WM12(WD5-000729)"/>
    <x v="2"/>
    <n v="2286"/>
    <n v="2365"/>
    <n v="79"/>
    <n v="8.5"/>
    <n v="3.63"/>
    <n v="30.855"/>
    <s v="Ravi"/>
    <x v="3"/>
    <n v="2025"/>
    <n v="9.2941176470588243"/>
    <s v="Long"/>
  </r>
  <r>
    <d v="2025-01-02T00:00:00"/>
    <x v="2"/>
    <s v="FE1(10930360)"/>
    <x v="0"/>
    <n v="1888"/>
    <n v="1903"/>
    <n v="15"/>
    <n v="7"/>
    <n v="3.47"/>
    <n v="24.290000000000003"/>
    <s v="Jose"/>
    <x v="3"/>
    <n v="2025"/>
    <n v="2.1428571428571428"/>
    <s v="Short"/>
  </r>
  <r>
    <d v="2025-01-03T00:00:00"/>
    <x v="5"/>
    <s v="BL8(1047802)"/>
    <x v="2"/>
    <n v="3356"/>
    <n v="3373"/>
    <n v="17"/>
    <n v="10"/>
    <n v="3.69"/>
    <n v="36.9"/>
    <s v="Maria"/>
    <x v="3"/>
    <n v="2025"/>
    <n v="1.7"/>
    <s v="Short"/>
  </r>
  <r>
    <d v="2025-01-04T00:00:00"/>
    <x v="2"/>
    <s v="FE1(10930360)"/>
    <x v="0"/>
    <n v="4331"/>
    <n v="4353"/>
    <n v="22"/>
    <n v="3.5"/>
    <n v="3.55"/>
    <n v="12.424999999999999"/>
    <s v="Maria"/>
    <x v="3"/>
    <n v="2025"/>
    <n v="6.2857142857142856"/>
    <s v="Medium"/>
  </r>
  <r>
    <d v="2025-01-05T00:00:00"/>
    <x v="2"/>
    <s v="FE1(10930360)"/>
    <x v="1"/>
    <n v="1012"/>
    <n v="1063"/>
    <n v="51"/>
    <n v="11"/>
    <n v="3.43"/>
    <n v="37.730000000000004"/>
    <s v="Ravi"/>
    <x v="3"/>
    <n v="2025"/>
    <n v="4.6363636363636367"/>
    <s v="Long"/>
  </r>
  <r>
    <d v="2025-01-06T00:00:00"/>
    <x v="1"/>
    <s v="F7(217595AH)"/>
    <x v="2"/>
    <n v="1703"/>
    <n v="1718"/>
    <n v="15"/>
    <n v="6.5"/>
    <n v="3.37"/>
    <n v="21.905000000000001"/>
    <s v="Maria"/>
    <x v="3"/>
    <n v="2025"/>
    <n v="2.3076923076923075"/>
    <s v="Short"/>
  </r>
  <r>
    <d v="2025-01-07T00:00:00"/>
    <x v="4"/>
    <s v="WM12(WD5-000729)"/>
    <x v="0"/>
    <n v="4952"/>
    <n v="4960"/>
    <n v="8"/>
    <n v="10"/>
    <n v="3.55"/>
    <n v="35.5"/>
    <s v="Ahmed"/>
    <x v="3"/>
    <n v="2025"/>
    <n v="0.8"/>
    <s v="Short"/>
  </r>
  <r>
    <d v="2025-01-08T00:00:00"/>
    <x v="4"/>
    <s v="WM12(WD5-000729)"/>
    <x v="2"/>
    <n v="4951"/>
    <n v="5006"/>
    <n v="55"/>
    <n v="10.5"/>
    <n v="3.73"/>
    <n v="39.164999999999999"/>
    <s v="Ahmed"/>
    <x v="3"/>
    <n v="2025"/>
    <n v="5.2380952380952381"/>
    <s v="Long"/>
  </r>
  <r>
    <d v="2025-01-09T00:00:00"/>
    <x v="2"/>
    <s v="FE1(10930360)"/>
    <x v="2"/>
    <n v="2175"/>
    <n v="2231"/>
    <n v="56"/>
    <n v="12.5"/>
    <n v="3.3"/>
    <n v="41.25"/>
    <s v="Ahmed"/>
    <x v="3"/>
    <n v="2025"/>
    <n v="4.4800000000000004"/>
    <s v="Long"/>
  </r>
  <r>
    <d v="2025-01-10T00:00:00"/>
    <x v="2"/>
    <s v="FE1(10930360)"/>
    <x v="1"/>
    <n v="4848"/>
    <n v="4881"/>
    <n v="33"/>
    <n v="5.5"/>
    <n v="3.71"/>
    <n v="20.405000000000001"/>
    <s v="Jose"/>
    <x v="3"/>
    <n v="2025"/>
    <n v="6"/>
    <s v="Medium"/>
  </r>
  <r>
    <d v="2025-01-11T00:00:00"/>
    <x v="2"/>
    <s v="FE1(10930360)"/>
    <x v="2"/>
    <n v="3324"/>
    <n v="3369"/>
    <n v="45"/>
    <n v="10"/>
    <n v="3.4"/>
    <n v="34"/>
    <s v="Ahmed"/>
    <x v="3"/>
    <n v="2025"/>
    <n v="4.5"/>
    <s v="Medium"/>
  </r>
  <r>
    <d v="2025-01-12T00:00:00"/>
    <x v="2"/>
    <s v="FE1(10930360)"/>
    <x v="1"/>
    <n v="2190"/>
    <n v="2195"/>
    <n v="5"/>
    <n v="11.5"/>
    <n v="3.76"/>
    <n v="43.239999999999995"/>
    <s v="Jose"/>
    <x v="3"/>
    <n v="2025"/>
    <n v="0.43478260869565216"/>
    <s v="Short"/>
  </r>
  <r>
    <d v="2025-01-13T00:00:00"/>
    <x v="0"/>
    <s v="ME6(10682709)"/>
    <x v="1"/>
    <n v="4287"/>
    <n v="4331"/>
    <n v="44"/>
    <n v="4"/>
    <n v="3.74"/>
    <n v="14.96"/>
    <s v="Maria"/>
    <x v="3"/>
    <n v="2025"/>
    <n v="11"/>
    <s v="Medium"/>
  </r>
  <r>
    <d v="2025-01-14T00:00:00"/>
    <x v="4"/>
    <s v="WM12(WD5-000729)"/>
    <x v="2"/>
    <n v="2342"/>
    <n v="2379"/>
    <n v="37"/>
    <n v="12.5"/>
    <n v="3.62"/>
    <n v="45.25"/>
    <s v="Ahmed"/>
    <x v="3"/>
    <n v="2025"/>
    <n v="2.96"/>
    <s v="Medium"/>
  </r>
  <r>
    <d v="2025-01-15T00:00:00"/>
    <x v="5"/>
    <s v="BL8(1047802)"/>
    <x v="2"/>
    <n v="2116"/>
    <n v="2149"/>
    <n v="33"/>
    <n v="3.5"/>
    <n v="3.23"/>
    <n v="11.305"/>
    <s v="Jose"/>
    <x v="3"/>
    <n v="2025"/>
    <n v="9.4285714285714288"/>
    <s v="Medium"/>
  </r>
  <r>
    <d v="2025-01-16T00:00:00"/>
    <x v="5"/>
    <s v="BL8(1047802)"/>
    <x v="2"/>
    <n v="1215"/>
    <n v="1250"/>
    <n v="35"/>
    <n v="8.5"/>
    <n v="3.46"/>
    <n v="29.41"/>
    <s v="Jose"/>
    <x v="3"/>
    <n v="2025"/>
    <n v="4.117647058823529"/>
    <s v="Medium"/>
  </r>
  <r>
    <d v="2025-01-17T00:00:00"/>
    <x v="1"/>
    <s v="F7(217595AH)"/>
    <x v="2"/>
    <n v="1847"/>
    <n v="1908"/>
    <n v="61"/>
    <n v="10"/>
    <n v="3.63"/>
    <n v="36.299999999999997"/>
    <s v="Maria"/>
    <x v="3"/>
    <n v="2025"/>
    <n v="6.1"/>
    <s v="Long"/>
  </r>
  <r>
    <d v="2025-01-18T00:00:00"/>
    <x v="2"/>
    <s v="FE1(10930360)"/>
    <x v="1"/>
    <n v="2208"/>
    <n v="2240"/>
    <n v="32"/>
    <n v="7"/>
    <n v="3.7"/>
    <n v="25.900000000000002"/>
    <s v="Ravi"/>
    <x v="3"/>
    <n v="2025"/>
    <n v="4.5714285714285712"/>
    <s v="Medium"/>
  </r>
  <r>
    <d v="2025-01-19T00:00:00"/>
    <x v="2"/>
    <s v="FE1(10930360)"/>
    <x v="2"/>
    <n v="2639"/>
    <n v="2706"/>
    <n v="67"/>
    <n v="3.5"/>
    <n v="3.53"/>
    <n v="12.354999999999999"/>
    <s v="Ahmed"/>
    <x v="3"/>
    <n v="2025"/>
    <n v="19.142857142857142"/>
    <s v="Long"/>
  </r>
  <r>
    <d v="2025-01-20T00:00:00"/>
    <x v="1"/>
    <s v="F7(217595AH)"/>
    <x v="1"/>
    <n v="4949"/>
    <n v="4954"/>
    <n v="5"/>
    <n v="7"/>
    <n v="3.25"/>
    <n v="22.75"/>
    <s v="Ahmed"/>
    <x v="3"/>
    <n v="2025"/>
    <n v="0.7142857142857143"/>
    <s v="Short"/>
  </r>
  <r>
    <d v="2025-01-21T00:00:00"/>
    <x v="3"/>
    <s v="BC1(10931016)"/>
    <x v="1"/>
    <n v="2459"/>
    <n v="2529"/>
    <n v="70"/>
    <n v="11.5"/>
    <n v="3.74"/>
    <n v="43.010000000000005"/>
    <s v="Jose"/>
    <x v="3"/>
    <n v="2025"/>
    <n v="6.0869565217391308"/>
    <s v="Long"/>
  </r>
  <r>
    <d v="2025-01-22T00:00:00"/>
    <x v="3"/>
    <s v="BC1(10931016)"/>
    <x v="1"/>
    <n v="602"/>
    <n v="608"/>
    <n v="6"/>
    <n v="7"/>
    <n v="3.5"/>
    <n v="24.5"/>
    <s v="Jose"/>
    <x v="3"/>
    <n v="2025"/>
    <n v="0.8571428571428571"/>
    <s v="Short"/>
  </r>
  <r>
    <d v="2025-01-23T00:00:00"/>
    <x v="0"/>
    <s v="ME6(10682709)"/>
    <x v="0"/>
    <n v="1341"/>
    <n v="1402"/>
    <n v="61"/>
    <n v="4.5"/>
    <n v="3.63"/>
    <n v="16.335000000000001"/>
    <s v="Ahmed"/>
    <x v="3"/>
    <n v="2025"/>
    <n v="13.555555555555555"/>
    <s v="Long"/>
  </r>
  <r>
    <d v="2025-01-24T00:00:00"/>
    <x v="2"/>
    <s v="FE1(10930360)"/>
    <x v="0"/>
    <n v="668"/>
    <n v="675"/>
    <n v="7"/>
    <n v="11.5"/>
    <n v="3.22"/>
    <n v="37.03"/>
    <s v="Ahmed"/>
    <x v="3"/>
    <n v="2025"/>
    <n v="0.60869565217391308"/>
    <s v="Short"/>
  </r>
  <r>
    <d v="2025-01-25T00:00:00"/>
    <x v="5"/>
    <s v="BL8(1047802)"/>
    <x v="1"/>
    <n v="1754"/>
    <n v="1829"/>
    <n v="75"/>
    <n v="3.5"/>
    <n v="3.3"/>
    <n v="11.549999999999999"/>
    <s v="Ahmed"/>
    <x v="3"/>
    <n v="2025"/>
    <n v="21.428571428571427"/>
    <s v="Long"/>
  </r>
  <r>
    <d v="2025-01-26T00:00:00"/>
    <x v="4"/>
    <s v="WM12(WD5-000729)"/>
    <x v="2"/>
    <n v="1011"/>
    <n v="1062"/>
    <n v="51"/>
    <n v="6.5"/>
    <n v="3.62"/>
    <n v="23.53"/>
    <s v="Jose"/>
    <x v="3"/>
    <n v="2025"/>
    <n v="7.8461538461538458"/>
    <s v="Long"/>
  </r>
  <r>
    <d v="2025-01-27T00:00:00"/>
    <x v="5"/>
    <s v="BL8(1047802)"/>
    <x v="2"/>
    <n v="734"/>
    <n v="790"/>
    <n v="56"/>
    <n v="4.5"/>
    <n v="3.31"/>
    <n v="14.895"/>
    <s v="Jose"/>
    <x v="3"/>
    <n v="2025"/>
    <n v="12.444444444444445"/>
    <s v="Long"/>
  </r>
  <r>
    <d v="2025-01-28T00:00:00"/>
    <x v="5"/>
    <s v="BL8(1047802)"/>
    <x v="2"/>
    <n v="1500"/>
    <n v="1565"/>
    <n v="65"/>
    <n v="12"/>
    <n v="3.3"/>
    <n v="39.599999999999994"/>
    <s v="Maria"/>
    <x v="3"/>
    <n v="2025"/>
    <n v="5.416666666666667"/>
    <s v="Long"/>
  </r>
  <r>
    <d v="2025-01-29T00:00:00"/>
    <x v="2"/>
    <s v="FE1(10930360)"/>
    <x v="1"/>
    <n v="4294"/>
    <n v="4373"/>
    <n v="79"/>
    <n v="2.5"/>
    <n v="3.51"/>
    <n v="8.7749999999999986"/>
    <s v="Jose"/>
    <x v="3"/>
    <n v="2025"/>
    <n v="31.6"/>
    <s v="Long"/>
  </r>
  <r>
    <d v="2025-01-30T00:00:00"/>
    <x v="0"/>
    <s v="ME6(10682709)"/>
    <x v="1"/>
    <n v="4230"/>
    <n v="4266"/>
    <n v="36"/>
    <n v="9"/>
    <n v="3.25"/>
    <n v="29.25"/>
    <s v="Jose"/>
    <x v="3"/>
    <n v="2025"/>
    <n v="4"/>
    <s v="Medium"/>
  </r>
  <r>
    <d v="2025-01-31T00:00:00"/>
    <x v="2"/>
    <s v="FE1(10930360)"/>
    <x v="1"/>
    <n v="567"/>
    <n v="641"/>
    <n v="74"/>
    <n v="4.5"/>
    <n v="3.48"/>
    <n v="15.66"/>
    <s v="Ravi"/>
    <x v="3"/>
    <n v="2025"/>
    <n v="16.444444444444443"/>
    <s v="Long"/>
  </r>
  <r>
    <d v="2025-02-01T00:00:00"/>
    <x v="3"/>
    <s v="BC1(10931016)"/>
    <x v="2"/>
    <n v="1123"/>
    <n v="1153"/>
    <n v="30"/>
    <n v="10"/>
    <n v="3.24"/>
    <n v="32.400000000000006"/>
    <s v="Jose"/>
    <x v="4"/>
    <n v="2025"/>
    <n v="3"/>
    <s v="Medium"/>
  </r>
  <r>
    <d v="2025-02-02T00:00:00"/>
    <x v="1"/>
    <s v="F7(217595AH)"/>
    <x v="1"/>
    <n v="3060"/>
    <n v="3111"/>
    <n v="51"/>
    <n v="9.5"/>
    <n v="3.53"/>
    <n v="33.534999999999997"/>
    <s v="Jose"/>
    <x v="4"/>
    <n v="2025"/>
    <n v="5.3684210526315788"/>
    <s v="Long"/>
  </r>
  <r>
    <d v="2025-02-03T00:00:00"/>
    <x v="0"/>
    <s v="ME6(10682709)"/>
    <x v="2"/>
    <n v="3648"/>
    <n v="3698"/>
    <n v="50"/>
    <n v="11"/>
    <n v="3.48"/>
    <n v="38.28"/>
    <s v="Jose"/>
    <x v="4"/>
    <n v="2025"/>
    <n v="4.5454545454545459"/>
    <s v="Medium"/>
  </r>
  <r>
    <d v="2025-02-04T00:00:00"/>
    <x v="5"/>
    <s v="BL8(1047802)"/>
    <x v="1"/>
    <n v="1482"/>
    <n v="1544"/>
    <n v="62"/>
    <n v="12.5"/>
    <n v="3.75"/>
    <n v="46.875"/>
    <s v="Jose"/>
    <x v="4"/>
    <n v="2025"/>
    <n v="4.96"/>
    <s v="Long"/>
  </r>
  <r>
    <d v="2025-02-05T00:00:00"/>
    <x v="2"/>
    <s v="FE1(10930360)"/>
    <x v="1"/>
    <n v="544"/>
    <n v="563"/>
    <n v="19"/>
    <n v="12.5"/>
    <n v="3.46"/>
    <n v="43.25"/>
    <s v="Ravi"/>
    <x v="4"/>
    <n v="2025"/>
    <n v="1.52"/>
    <s v="Short"/>
  </r>
  <r>
    <d v="2025-02-06T00:00:00"/>
    <x v="2"/>
    <s v="FE1(10930360)"/>
    <x v="2"/>
    <n v="4446"/>
    <n v="4475"/>
    <n v="29"/>
    <n v="9.5"/>
    <n v="3.36"/>
    <n v="31.919999999999998"/>
    <s v="Maria"/>
    <x v="4"/>
    <n v="2025"/>
    <n v="3.0526315789473686"/>
    <s v="Medium"/>
  </r>
  <r>
    <d v="2025-02-07T00:00:00"/>
    <x v="0"/>
    <s v="ME6(10682709)"/>
    <x v="2"/>
    <n v="3939"/>
    <n v="3988"/>
    <n v="49"/>
    <n v="9.5"/>
    <n v="3.42"/>
    <n v="32.49"/>
    <s v="Ravi"/>
    <x v="4"/>
    <n v="2025"/>
    <n v="5.1578947368421053"/>
    <s v="Medium"/>
  </r>
  <r>
    <d v="2025-02-08T00:00:00"/>
    <x v="1"/>
    <s v="F7(217595AH)"/>
    <x v="0"/>
    <n v="2884"/>
    <n v="2911"/>
    <n v="27"/>
    <n v="5"/>
    <n v="3.25"/>
    <n v="16.25"/>
    <s v="Ravi"/>
    <x v="4"/>
    <n v="2025"/>
    <n v="5.4"/>
    <s v="Medium"/>
  </r>
  <r>
    <d v="2025-02-09T00:00:00"/>
    <x v="5"/>
    <s v="BL8(1047802)"/>
    <x v="1"/>
    <n v="898"/>
    <n v="958"/>
    <n v="60"/>
    <n v="3"/>
    <n v="3.31"/>
    <n v="9.93"/>
    <s v="Maria"/>
    <x v="4"/>
    <n v="2025"/>
    <n v="20"/>
    <s v="Long"/>
  </r>
  <r>
    <d v="2025-02-10T00:00:00"/>
    <x v="0"/>
    <s v="ME6(10682709)"/>
    <x v="1"/>
    <n v="1775"/>
    <n v="1843"/>
    <n v="68"/>
    <n v="7"/>
    <n v="3.42"/>
    <n v="23.939999999999998"/>
    <s v="Ahmed"/>
    <x v="4"/>
    <n v="2025"/>
    <n v="9.7142857142857135"/>
    <s v="Long"/>
  </r>
  <r>
    <d v="2025-02-11T00:00:00"/>
    <x v="4"/>
    <s v="WM12(WD5-000729)"/>
    <x v="2"/>
    <n v="3215"/>
    <n v="3222"/>
    <n v="7"/>
    <n v="4.5"/>
    <n v="3.69"/>
    <n v="16.605"/>
    <s v="Maria"/>
    <x v="4"/>
    <n v="2025"/>
    <n v="1.5555555555555556"/>
    <s v="Short"/>
  </r>
  <r>
    <d v="2025-02-12T00:00:00"/>
    <x v="0"/>
    <s v="ME6(10682709)"/>
    <x v="1"/>
    <n v="3685"/>
    <n v="3710"/>
    <n v="25"/>
    <n v="8.5"/>
    <n v="3.49"/>
    <n v="29.665000000000003"/>
    <s v="Maria"/>
    <x v="4"/>
    <n v="2025"/>
    <n v="2.9411764705882355"/>
    <s v="Medium"/>
  </r>
  <r>
    <d v="2025-02-13T00:00:00"/>
    <x v="5"/>
    <s v="BL8(1047802)"/>
    <x v="2"/>
    <n v="4926"/>
    <n v="4940"/>
    <n v="14"/>
    <n v="10.5"/>
    <n v="3.67"/>
    <n v="38.534999999999997"/>
    <s v="Ahmed"/>
    <x v="4"/>
    <n v="2025"/>
    <n v="1.3333333333333333"/>
    <s v="Short"/>
  </r>
  <r>
    <d v="2025-02-14T00:00:00"/>
    <x v="1"/>
    <s v="F7(217595AH)"/>
    <x v="2"/>
    <n v="4910"/>
    <n v="4965"/>
    <n v="55"/>
    <n v="8"/>
    <n v="3.31"/>
    <n v="26.48"/>
    <s v="Jose"/>
    <x v="4"/>
    <n v="2025"/>
    <n v="6.875"/>
    <s v="Long"/>
  </r>
  <r>
    <d v="2025-02-15T00:00:00"/>
    <x v="3"/>
    <s v="BC1(10931016)"/>
    <x v="1"/>
    <n v="937"/>
    <n v="1017"/>
    <n v="80"/>
    <n v="11"/>
    <n v="3.5"/>
    <n v="38.5"/>
    <s v="Maria"/>
    <x v="4"/>
    <n v="2025"/>
    <n v="7.2727272727272725"/>
    <s v="Long"/>
  </r>
  <r>
    <d v="2025-02-16T00:00:00"/>
    <x v="4"/>
    <s v="WM12(WD5-000729)"/>
    <x v="2"/>
    <n v="4883"/>
    <n v="4922"/>
    <n v="39"/>
    <n v="4"/>
    <n v="3.36"/>
    <n v="13.44"/>
    <s v="Ahmed"/>
    <x v="4"/>
    <n v="2025"/>
    <n v="9.75"/>
    <s v="Medium"/>
  </r>
  <r>
    <d v="2025-02-17T00:00:00"/>
    <x v="3"/>
    <s v="BC1(10931016)"/>
    <x v="0"/>
    <n v="2637"/>
    <n v="2708"/>
    <n v="71"/>
    <n v="12"/>
    <n v="3.76"/>
    <n v="45.12"/>
    <s v="Ravi"/>
    <x v="4"/>
    <n v="2025"/>
    <n v="5.916666666666667"/>
    <s v="Long"/>
  </r>
  <r>
    <d v="2025-02-18T00:00:00"/>
    <x v="5"/>
    <s v="BL8(1047802)"/>
    <x v="2"/>
    <n v="2823"/>
    <n v="2863"/>
    <n v="40"/>
    <n v="11.5"/>
    <n v="3.48"/>
    <n v="40.020000000000003"/>
    <s v="Maria"/>
    <x v="4"/>
    <n v="2025"/>
    <n v="3.4782608695652173"/>
    <s v="Medium"/>
  </r>
  <r>
    <d v="2025-02-19T00:00:00"/>
    <x v="3"/>
    <s v="BC1(10931016)"/>
    <x v="0"/>
    <n v="3854"/>
    <n v="3897"/>
    <n v="43"/>
    <n v="4.5"/>
    <n v="3.69"/>
    <n v="16.605"/>
    <s v="Jose"/>
    <x v="4"/>
    <n v="2025"/>
    <n v="9.5555555555555554"/>
    <s v="Medium"/>
  </r>
  <r>
    <d v="2025-02-20T00:00:00"/>
    <x v="5"/>
    <s v="BL8(1047802)"/>
    <x v="1"/>
    <n v="1367"/>
    <n v="1443"/>
    <n v="76"/>
    <n v="11.5"/>
    <n v="3.29"/>
    <n v="37.835000000000001"/>
    <s v="Jose"/>
    <x v="4"/>
    <n v="2025"/>
    <n v="6.6086956521739131"/>
    <s v="Long"/>
  </r>
  <r>
    <d v="2025-02-21T00:00:00"/>
    <x v="5"/>
    <s v="BL8(1047802)"/>
    <x v="2"/>
    <n v="3107"/>
    <n v="3163"/>
    <n v="56"/>
    <n v="9"/>
    <n v="3.23"/>
    <n v="29.07"/>
    <s v="Ravi"/>
    <x v="4"/>
    <n v="2025"/>
    <n v="6.2222222222222223"/>
    <s v="Long"/>
  </r>
  <r>
    <d v="2025-02-22T00:00:00"/>
    <x v="0"/>
    <s v="ME6(10682709)"/>
    <x v="0"/>
    <n v="3070"/>
    <n v="3125"/>
    <n v="55"/>
    <n v="12.5"/>
    <n v="3.31"/>
    <n v="41.375"/>
    <s v="Ravi"/>
    <x v="4"/>
    <n v="2025"/>
    <n v="4.4000000000000004"/>
    <s v="Long"/>
  </r>
  <r>
    <d v="2025-02-23T00:00:00"/>
    <x v="2"/>
    <s v="FE1(10930360)"/>
    <x v="1"/>
    <n v="4192"/>
    <n v="4206"/>
    <n v="14"/>
    <n v="7"/>
    <n v="3.43"/>
    <n v="24.01"/>
    <s v="Ahmed"/>
    <x v="4"/>
    <n v="2025"/>
    <n v="2"/>
    <s v="Short"/>
  </r>
  <r>
    <d v="2025-02-24T00:00:00"/>
    <x v="1"/>
    <s v="F7(217595AH)"/>
    <x v="0"/>
    <n v="1836"/>
    <n v="1848"/>
    <n v="12"/>
    <n v="4.5"/>
    <n v="3.7"/>
    <n v="16.650000000000002"/>
    <s v="Ahmed"/>
    <x v="4"/>
    <n v="2025"/>
    <n v="2.6666666666666665"/>
    <s v="Short"/>
  </r>
  <r>
    <d v="2025-02-25T00:00:00"/>
    <x v="3"/>
    <s v="BC1(10931016)"/>
    <x v="0"/>
    <n v="4302"/>
    <n v="4322"/>
    <n v="20"/>
    <n v="6.5"/>
    <n v="3.74"/>
    <n v="24.310000000000002"/>
    <s v="Ravi"/>
    <x v="4"/>
    <n v="2025"/>
    <n v="3.0769230769230771"/>
    <s v="Medium"/>
  </r>
  <r>
    <d v="2025-02-26T00:00:00"/>
    <x v="1"/>
    <s v="F7(217595AH)"/>
    <x v="0"/>
    <n v="4446"/>
    <n v="4487"/>
    <n v="41"/>
    <n v="10.5"/>
    <n v="3.35"/>
    <n v="35.175000000000004"/>
    <s v="Ahmed"/>
    <x v="4"/>
    <n v="2025"/>
    <n v="3.9047619047619047"/>
    <s v="Medium"/>
  </r>
  <r>
    <d v="2025-02-27T00:00:00"/>
    <x v="5"/>
    <s v="BL8(1047802)"/>
    <x v="2"/>
    <n v="4832"/>
    <n v="4900"/>
    <n v="68"/>
    <n v="10.5"/>
    <n v="3.52"/>
    <n v="36.96"/>
    <s v="Ravi"/>
    <x v="4"/>
    <n v="2025"/>
    <n v="6.4761904761904763"/>
    <s v="Long"/>
  </r>
  <r>
    <d v="2025-02-28T00:00:00"/>
    <x v="1"/>
    <s v="F7(217595AH)"/>
    <x v="2"/>
    <n v="2358"/>
    <n v="2423"/>
    <n v="65"/>
    <n v="3"/>
    <n v="3.26"/>
    <n v="9.7799999999999994"/>
    <s v="Jose"/>
    <x v="4"/>
    <n v="2025"/>
    <n v="21.666666666666668"/>
    <s v="Long"/>
  </r>
  <r>
    <d v="2025-03-01T00:00:00"/>
    <x v="0"/>
    <s v="ME6(10682709)"/>
    <x v="2"/>
    <n v="1973"/>
    <n v="2024"/>
    <n v="51"/>
    <n v="10"/>
    <n v="3.5"/>
    <n v="35"/>
    <s v="Ravi"/>
    <x v="5"/>
    <n v="2025"/>
    <n v="5.0999999999999996"/>
    <s v="Long"/>
  </r>
  <r>
    <d v="2025-03-02T00:00:00"/>
    <x v="1"/>
    <s v="F7(217595AH)"/>
    <x v="1"/>
    <n v="3981"/>
    <n v="3997"/>
    <n v="16"/>
    <n v="10.5"/>
    <n v="3.69"/>
    <n v="38.744999999999997"/>
    <s v="Ahmed"/>
    <x v="5"/>
    <n v="2025"/>
    <n v="1.5238095238095237"/>
    <s v="Short"/>
  </r>
  <r>
    <d v="2025-03-03T00:00:00"/>
    <x v="2"/>
    <s v="FE1(10930360)"/>
    <x v="1"/>
    <n v="4666"/>
    <n v="4715"/>
    <n v="49"/>
    <n v="5.5"/>
    <n v="3.69"/>
    <n v="20.294999999999998"/>
    <s v="Jose"/>
    <x v="5"/>
    <n v="2025"/>
    <n v="8.9090909090909083"/>
    <s v="Medium"/>
  </r>
  <r>
    <d v="2025-03-04T00:00:00"/>
    <x v="2"/>
    <s v="FE1(10930360)"/>
    <x v="1"/>
    <n v="2666"/>
    <n v="2676"/>
    <n v="10"/>
    <n v="9.5"/>
    <n v="3.3"/>
    <n v="31.349999999999998"/>
    <s v="Maria"/>
    <x v="5"/>
    <n v="2025"/>
    <n v="1.0526315789473684"/>
    <s v="Short"/>
  </r>
  <r>
    <d v="2025-03-05T00:00:00"/>
    <x v="3"/>
    <s v="BC1(10931016)"/>
    <x v="0"/>
    <n v="3354"/>
    <n v="3416"/>
    <n v="62"/>
    <n v="7.5"/>
    <n v="3.79"/>
    <n v="28.425000000000001"/>
    <s v="Ravi"/>
    <x v="5"/>
    <n v="2025"/>
    <n v="8.2666666666666675"/>
    <s v="Long"/>
  </r>
  <r>
    <d v="2025-03-06T00:00:00"/>
    <x v="0"/>
    <s v="ME6(10682709)"/>
    <x v="0"/>
    <n v="3496"/>
    <n v="3502"/>
    <n v="6"/>
    <n v="5.5"/>
    <n v="3.79"/>
    <n v="20.844999999999999"/>
    <s v="Jose"/>
    <x v="5"/>
    <n v="2025"/>
    <n v="1.0909090909090908"/>
    <s v="Short"/>
  </r>
  <r>
    <d v="2025-03-07T00:00:00"/>
    <x v="1"/>
    <s v="F7(217595AH)"/>
    <x v="0"/>
    <n v="4889"/>
    <n v="4937"/>
    <n v="48"/>
    <n v="12.5"/>
    <n v="3.53"/>
    <n v="44.125"/>
    <s v="Maria"/>
    <x v="5"/>
    <n v="2025"/>
    <n v="3.84"/>
    <s v="Medium"/>
  </r>
  <r>
    <d v="2025-03-08T00:00:00"/>
    <x v="3"/>
    <s v="BC1(10931016)"/>
    <x v="2"/>
    <n v="4033"/>
    <n v="4088"/>
    <n v="55"/>
    <n v="5"/>
    <n v="3.66"/>
    <n v="18.3"/>
    <s v="Maria"/>
    <x v="5"/>
    <n v="2025"/>
    <n v="11"/>
    <s v="Long"/>
  </r>
  <r>
    <d v="2025-03-09T00:00:00"/>
    <x v="3"/>
    <s v="BC1(10931016)"/>
    <x v="2"/>
    <n v="3845"/>
    <n v="3851"/>
    <n v="6"/>
    <n v="9.5"/>
    <n v="3.51"/>
    <n v="33.344999999999999"/>
    <s v="Ahmed"/>
    <x v="5"/>
    <n v="2025"/>
    <n v="0.63157894736842102"/>
    <s v="Short"/>
  </r>
  <r>
    <d v="2025-03-10T00:00:00"/>
    <x v="4"/>
    <s v="WM12(WD5-000729)"/>
    <x v="1"/>
    <n v="3223"/>
    <n v="3284"/>
    <n v="61"/>
    <n v="3"/>
    <n v="3.48"/>
    <n v="10.44"/>
    <s v="Maria"/>
    <x v="5"/>
    <n v="2025"/>
    <n v="20.333333333333332"/>
    <s v="Long"/>
  </r>
  <r>
    <d v="2025-03-11T00:00:00"/>
    <x v="5"/>
    <s v="BL8(1047802)"/>
    <x v="1"/>
    <n v="2441"/>
    <n v="2488"/>
    <n v="47"/>
    <n v="4"/>
    <n v="3.31"/>
    <n v="13.24"/>
    <s v="Maria"/>
    <x v="5"/>
    <n v="2025"/>
    <n v="11.75"/>
    <s v="Medium"/>
  </r>
  <r>
    <d v="2025-03-12T00:00:00"/>
    <x v="2"/>
    <s v="FE1(10930360)"/>
    <x v="2"/>
    <n v="2946"/>
    <n v="2997"/>
    <n v="51"/>
    <n v="2.5"/>
    <n v="3.51"/>
    <n v="8.7749999999999986"/>
    <s v="Ahmed"/>
    <x v="5"/>
    <n v="2025"/>
    <n v="20.399999999999999"/>
    <s v="Long"/>
  </r>
  <r>
    <d v="2025-03-13T00:00:00"/>
    <x v="1"/>
    <s v="F7(217595AH)"/>
    <x v="1"/>
    <n v="2300"/>
    <n v="2323"/>
    <n v="23"/>
    <n v="6"/>
    <n v="3.71"/>
    <n v="22.259999999999998"/>
    <s v="Maria"/>
    <x v="5"/>
    <n v="2025"/>
    <n v="3.8333333333333335"/>
    <s v="Medium"/>
  </r>
  <r>
    <d v="2025-03-14T00:00:00"/>
    <x v="4"/>
    <s v="WM12(WD5-000729)"/>
    <x v="1"/>
    <n v="4493"/>
    <n v="4504"/>
    <n v="11"/>
    <n v="9.5"/>
    <n v="3.68"/>
    <n v="34.96"/>
    <s v="Maria"/>
    <x v="5"/>
    <n v="2025"/>
    <n v="1.1578947368421053"/>
    <s v="Short"/>
  </r>
  <r>
    <d v="2025-03-15T00:00:00"/>
    <x v="2"/>
    <s v="FE1(10930360)"/>
    <x v="1"/>
    <n v="3934"/>
    <n v="3988"/>
    <n v="54"/>
    <n v="4.5"/>
    <n v="3.34"/>
    <n v="15.03"/>
    <s v="Maria"/>
    <x v="5"/>
    <n v="2025"/>
    <n v="12"/>
    <s v="Long"/>
  </r>
  <r>
    <d v="2025-03-16T00:00:00"/>
    <x v="1"/>
    <s v="F7(217595AH)"/>
    <x v="1"/>
    <n v="2811"/>
    <n v="2890"/>
    <n v="79"/>
    <n v="12"/>
    <n v="3.43"/>
    <n v="41.160000000000004"/>
    <s v="Maria"/>
    <x v="5"/>
    <n v="2025"/>
    <n v="6.583333333333333"/>
    <s v="Long"/>
  </r>
  <r>
    <d v="2025-03-17T00:00:00"/>
    <x v="1"/>
    <s v="F7(217595AH)"/>
    <x v="0"/>
    <n v="2247"/>
    <n v="2265"/>
    <n v="18"/>
    <n v="6"/>
    <n v="3.64"/>
    <n v="21.84"/>
    <s v="Maria"/>
    <x v="5"/>
    <n v="2025"/>
    <n v="3"/>
    <s v="Short"/>
  </r>
  <r>
    <d v="2025-03-18T00:00:00"/>
    <x v="1"/>
    <s v="F7(217595AH)"/>
    <x v="0"/>
    <n v="2467"/>
    <n v="2527"/>
    <n v="60"/>
    <n v="12"/>
    <n v="3.24"/>
    <n v="38.880000000000003"/>
    <s v="Ravi"/>
    <x v="5"/>
    <n v="2025"/>
    <n v="5"/>
    <s v="Long"/>
  </r>
  <r>
    <d v="2025-03-19T00:00:00"/>
    <x v="1"/>
    <s v="F7(217595AH)"/>
    <x v="2"/>
    <n v="2422"/>
    <n v="2498"/>
    <n v="76"/>
    <n v="8.5"/>
    <n v="3.44"/>
    <n v="29.24"/>
    <s v="Maria"/>
    <x v="5"/>
    <n v="2025"/>
    <n v="8.9411764705882355"/>
    <s v="Long"/>
  </r>
  <r>
    <d v="2025-03-20T00:00:00"/>
    <x v="5"/>
    <s v="BL8(1047802)"/>
    <x v="1"/>
    <n v="1188"/>
    <n v="1262"/>
    <n v="74"/>
    <n v="11"/>
    <n v="3.42"/>
    <n v="37.619999999999997"/>
    <s v="Jose"/>
    <x v="5"/>
    <n v="2025"/>
    <n v="6.7272727272727275"/>
    <s v="Long"/>
  </r>
  <r>
    <d v="2025-03-21T00:00:00"/>
    <x v="4"/>
    <s v="WM12(WD5-000729)"/>
    <x v="1"/>
    <n v="1284"/>
    <n v="1324"/>
    <n v="40"/>
    <n v="2.5"/>
    <n v="3.53"/>
    <n v="8.8249999999999993"/>
    <s v="Jose"/>
    <x v="5"/>
    <n v="2025"/>
    <n v="16"/>
    <s v="Medium"/>
  </r>
  <r>
    <d v="2025-03-22T00:00:00"/>
    <x v="4"/>
    <s v="WM12(WD5-000729)"/>
    <x v="2"/>
    <n v="3478"/>
    <n v="3484"/>
    <n v="6"/>
    <n v="11.5"/>
    <n v="3.45"/>
    <n v="39.675000000000004"/>
    <s v="Ravi"/>
    <x v="5"/>
    <n v="2025"/>
    <n v="0.52173913043478259"/>
    <s v="Short"/>
  </r>
  <r>
    <d v="2025-03-23T00:00:00"/>
    <x v="0"/>
    <s v="ME6(10682709)"/>
    <x v="0"/>
    <n v="3650"/>
    <n v="3659"/>
    <n v="9"/>
    <n v="3.5"/>
    <n v="3.59"/>
    <n v="12.565"/>
    <s v="Ahmed"/>
    <x v="5"/>
    <n v="2025"/>
    <n v="2.5714285714285716"/>
    <s v="Short"/>
  </r>
  <r>
    <d v="2025-03-24T00:00:00"/>
    <x v="0"/>
    <s v="ME6(10682709)"/>
    <x v="0"/>
    <n v="1882"/>
    <n v="1907"/>
    <n v="25"/>
    <n v="12"/>
    <n v="3.8"/>
    <n v="45.599999999999994"/>
    <s v="Maria"/>
    <x v="5"/>
    <n v="2025"/>
    <n v="2.0833333333333335"/>
    <s v="Medium"/>
  </r>
  <r>
    <d v="2025-03-25T00:00:00"/>
    <x v="0"/>
    <s v="ME6(10682709)"/>
    <x v="1"/>
    <n v="1869"/>
    <n v="1908"/>
    <n v="39"/>
    <n v="6.5"/>
    <n v="3.24"/>
    <n v="21.060000000000002"/>
    <s v="Ahmed"/>
    <x v="5"/>
    <n v="2025"/>
    <n v="6"/>
    <s v="Medium"/>
  </r>
  <r>
    <d v="2025-03-26T00:00:00"/>
    <x v="1"/>
    <s v="F7(217595AH)"/>
    <x v="0"/>
    <n v="4287"/>
    <n v="4314"/>
    <n v="27"/>
    <n v="5.5"/>
    <n v="3.76"/>
    <n v="20.68"/>
    <s v="Ahmed"/>
    <x v="5"/>
    <n v="2025"/>
    <n v="4.9090909090909092"/>
    <s v="Medium"/>
  </r>
  <r>
    <d v="2025-03-27T00:00:00"/>
    <x v="1"/>
    <s v="F7(217595AH)"/>
    <x v="2"/>
    <n v="3315"/>
    <n v="3384"/>
    <n v="69"/>
    <n v="6.5"/>
    <n v="3.34"/>
    <n v="21.71"/>
    <s v="Ravi"/>
    <x v="5"/>
    <n v="2025"/>
    <n v="10.615384615384615"/>
    <s v="Long"/>
  </r>
  <r>
    <d v="2025-03-28T00:00:00"/>
    <x v="2"/>
    <s v="FE1(10930360)"/>
    <x v="0"/>
    <n v="4437"/>
    <n v="4495"/>
    <n v="58"/>
    <n v="5"/>
    <n v="3.57"/>
    <n v="17.849999999999998"/>
    <s v="Maria"/>
    <x v="5"/>
    <n v="2025"/>
    <n v="11.6"/>
    <s v="Long"/>
  </r>
  <r>
    <d v="2025-03-29T00:00:00"/>
    <x v="3"/>
    <s v="BC1(10931016)"/>
    <x v="2"/>
    <n v="3849"/>
    <n v="3905"/>
    <n v="56"/>
    <n v="9.5"/>
    <n v="3.29"/>
    <n v="31.254999999999999"/>
    <s v="Jose"/>
    <x v="5"/>
    <n v="2025"/>
    <n v="5.8947368421052628"/>
    <s v="Long"/>
  </r>
  <r>
    <d v="2025-03-30T00:00:00"/>
    <x v="2"/>
    <s v="FE1(10930360)"/>
    <x v="0"/>
    <n v="3010"/>
    <n v="3086"/>
    <n v="76"/>
    <n v="2.5"/>
    <n v="3.24"/>
    <n v="8.1000000000000014"/>
    <s v="Ahmed"/>
    <x v="5"/>
    <n v="2025"/>
    <n v="30.4"/>
    <s v="Long"/>
  </r>
  <r>
    <d v="2025-03-31T00:00:00"/>
    <x v="3"/>
    <s v="BC1(10931016)"/>
    <x v="0"/>
    <n v="4430"/>
    <n v="4485"/>
    <n v="55"/>
    <n v="11.5"/>
    <n v="3.35"/>
    <n v="38.524999999999999"/>
    <s v="Ravi"/>
    <x v="5"/>
    <n v="2025"/>
    <n v="4.7826086956521738"/>
    <s v="Long"/>
  </r>
  <r>
    <d v="2025-04-01T00:00:00"/>
    <x v="2"/>
    <s v="FE1(10930360)"/>
    <x v="1"/>
    <n v="4716"/>
    <n v="4768"/>
    <n v="52"/>
    <n v="10"/>
    <n v="3.5"/>
    <n v="35"/>
    <s v="Ahmed"/>
    <x v="6"/>
    <n v="2025"/>
    <n v="5.2"/>
    <s v="Long"/>
  </r>
  <r>
    <d v="2025-04-02T00:00:00"/>
    <x v="3"/>
    <s v="BC1(10931016)"/>
    <x v="2"/>
    <n v="4500"/>
    <n v="4527"/>
    <n v="27"/>
    <n v="11"/>
    <n v="3.63"/>
    <n v="39.93"/>
    <s v="Maria"/>
    <x v="6"/>
    <n v="2025"/>
    <n v="2.4545454545454546"/>
    <s v="Medium"/>
  </r>
  <r>
    <d v="2025-04-03T00:00:00"/>
    <x v="1"/>
    <s v="F7(217595AH)"/>
    <x v="2"/>
    <n v="3462"/>
    <n v="3528"/>
    <n v="66"/>
    <n v="5"/>
    <n v="3.5"/>
    <n v="17.5"/>
    <s v="Jose"/>
    <x v="6"/>
    <n v="2025"/>
    <n v="13.2"/>
    <s v="Long"/>
  </r>
  <r>
    <d v="2025-04-04T00:00:00"/>
    <x v="2"/>
    <s v="FE1(10930360)"/>
    <x v="2"/>
    <n v="1647"/>
    <n v="1654"/>
    <n v="7"/>
    <n v="6"/>
    <n v="3.25"/>
    <n v="19.5"/>
    <s v="Ravi"/>
    <x v="6"/>
    <n v="2025"/>
    <n v="1.1666666666666667"/>
    <s v="Short"/>
  </r>
  <r>
    <d v="2025-04-05T00:00:00"/>
    <x v="5"/>
    <s v="BL8(1047802)"/>
    <x v="0"/>
    <n v="832"/>
    <n v="904"/>
    <n v="72"/>
    <n v="5"/>
    <n v="3.53"/>
    <n v="17.649999999999999"/>
    <s v="Maria"/>
    <x v="6"/>
    <n v="2025"/>
    <n v="14.4"/>
    <s v="Long"/>
  </r>
  <r>
    <d v="2025-04-06T00:00:00"/>
    <x v="3"/>
    <s v="BC1(10931016)"/>
    <x v="2"/>
    <n v="2551"/>
    <n v="2574"/>
    <n v="23"/>
    <n v="7"/>
    <n v="3.47"/>
    <n v="24.290000000000003"/>
    <s v="Ahmed"/>
    <x v="6"/>
    <n v="2025"/>
    <n v="3.2857142857142856"/>
    <s v="Medium"/>
  </r>
  <r>
    <d v="2025-04-07T00:00:00"/>
    <x v="2"/>
    <s v="FE1(10930360)"/>
    <x v="1"/>
    <n v="3182"/>
    <n v="3244"/>
    <n v="62"/>
    <n v="4"/>
    <n v="3.49"/>
    <n v="13.96"/>
    <s v="Jose"/>
    <x v="6"/>
    <n v="2025"/>
    <n v="15.5"/>
    <s v="Long"/>
  </r>
  <r>
    <d v="2025-04-08T00:00:00"/>
    <x v="5"/>
    <s v="BL8(1047802)"/>
    <x v="1"/>
    <n v="1626"/>
    <n v="1658"/>
    <n v="32"/>
    <n v="5.5"/>
    <n v="3.52"/>
    <n v="19.36"/>
    <s v="Maria"/>
    <x v="6"/>
    <n v="2025"/>
    <n v="5.8181818181818183"/>
    <s v="Medium"/>
  </r>
  <r>
    <d v="2025-04-09T00:00:00"/>
    <x v="5"/>
    <s v="BL8(1047802)"/>
    <x v="2"/>
    <n v="3963"/>
    <n v="3978"/>
    <n v="15"/>
    <n v="5"/>
    <n v="3.49"/>
    <n v="17.450000000000003"/>
    <s v="Maria"/>
    <x v="6"/>
    <n v="2025"/>
    <n v="3"/>
    <s v="Short"/>
  </r>
  <r>
    <d v="2025-04-10T00:00:00"/>
    <x v="0"/>
    <s v="ME6(10682709)"/>
    <x v="1"/>
    <n v="2607"/>
    <n v="2654"/>
    <n v="47"/>
    <n v="11.5"/>
    <n v="3.58"/>
    <n v="41.17"/>
    <s v="Ravi"/>
    <x v="6"/>
    <n v="2025"/>
    <n v="4.0869565217391308"/>
    <s v="Medium"/>
  </r>
  <r>
    <d v="2025-04-11T00:00:00"/>
    <x v="5"/>
    <s v="BL8(1047802)"/>
    <x v="2"/>
    <n v="1579"/>
    <n v="1652"/>
    <n v="73"/>
    <n v="2.5"/>
    <n v="3.28"/>
    <n v="8.1999999999999993"/>
    <s v="Ravi"/>
    <x v="6"/>
    <n v="2025"/>
    <n v="29.2"/>
    <s v="Long"/>
  </r>
  <r>
    <d v="2025-04-12T00:00:00"/>
    <x v="0"/>
    <s v="ME6(10682709)"/>
    <x v="1"/>
    <n v="4794"/>
    <n v="4849"/>
    <n v="55"/>
    <n v="5"/>
    <n v="3.6"/>
    <n v="18"/>
    <s v="Ahmed"/>
    <x v="6"/>
    <n v="2025"/>
    <n v="11"/>
    <s v="Long"/>
  </r>
  <r>
    <d v="2025-04-13T00:00:00"/>
    <x v="1"/>
    <s v="F7(217595AH)"/>
    <x v="2"/>
    <n v="3769"/>
    <n v="3831"/>
    <n v="62"/>
    <n v="11"/>
    <n v="3.79"/>
    <n v="41.69"/>
    <s v="Maria"/>
    <x v="6"/>
    <n v="2025"/>
    <n v="5.6363636363636367"/>
    <s v="Long"/>
  </r>
  <r>
    <d v="2025-04-14T00:00:00"/>
    <x v="2"/>
    <s v="FE1(10930360)"/>
    <x v="2"/>
    <n v="4655"/>
    <n v="4735"/>
    <n v="80"/>
    <n v="7.5"/>
    <n v="3.75"/>
    <n v="28.125"/>
    <s v="Ahmed"/>
    <x v="6"/>
    <n v="2025"/>
    <n v="10.666666666666666"/>
    <s v="Long"/>
  </r>
  <r>
    <d v="2025-04-15T00:00:00"/>
    <x v="3"/>
    <s v="BC1(10931016)"/>
    <x v="1"/>
    <n v="1040"/>
    <n v="1049"/>
    <n v="9"/>
    <n v="2.5"/>
    <n v="3.51"/>
    <n v="8.7749999999999986"/>
    <s v="Ravi"/>
    <x v="6"/>
    <n v="2025"/>
    <n v="3.6"/>
    <s v="Short"/>
  </r>
  <r>
    <d v="2025-04-16T00:00:00"/>
    <x v="3"/>
    <s v="BC1(10931016)"/>
    <x v="0"/>
    <n v="1417"/>
    <n v="1488"/>
    <n v="71"/>
    <n v="9.5"/>
    <n v="3.63"/>
    <n v="34.484999999999999"/>
    <s v="Ravi"/>
    <x v="6"/>
    <n v="2025"/>
    <n v="7.4736842105263159"/>
    <s v="Long"/>
  </r>
  <r>
    <d v="2025-04-17T00:00:00"/>
    <x v="5"/>
    <s v="BL8(1047802)"/>
    <x v="2"/>
    <n v="1806"/>
    <n v="1812"/>
    <n v="6"/>
    <n v="3"/>
    <n v="3.74"/>
    <n v="11.22"/>
    <s v="Ravi"/>
    <x v="6"/>
    <n v="2025"/>
    <n v="2"/>
    <s v="Short"/>
  </r>
  <r>
    <d v="2025-04-18T00:00:00"/>
    <x v="1"/>
    <s v="F7(217595AH)"/>
    <x v="1"/>
    <n v="4781"/>
    <n v="4789"/>
    <n v="8"/>
    <n v="2.5"/>
    <n v="3.31"/>
    <n v="8.2750000000000004"/>
    <s v="Ahmed"/>
    <x v="6"/>
    <n v="2025"/>
    <n v="3.2"/>
    <s v="Sho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75A21-B863-43F0-8A4F-5385FC4028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0" firstHeaderRow="1" firstDataRow="1" firstDataCol="1"/>
  <pivotFields count="15">
    <pivotField numFmtId="14" showAll="0"/>
    <pivotField axis="axisRow" showAll="0">
      <items count="7">
        <item x="3"/>
        <item x="5"/>
        <item x="1"/>
        <item x="2"/>
        <item x="0"/>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pivotFields>
  <rowFields count="1">
    <field x="1"/>
  </rowFields>
  <rowItems count="7">
    <i>
      <x/>
    </i>
    <i>
      <x v="1"/>
    </i>
    <i>
      <x v="2"/>
    </i>
    <i>
      <x v="3"/>
    </i>
    <i>
      <x v="4"/>
    </i>
    <i>
      <x v="5"/>
    </i>
    <i t="grand">
      <x/>
    </i>
  </rowItems>
  <colItems count="1">
    <i/>
  </colItems>
  <dataFields count="1">
    <dataField name="Sum of Distance"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A0EB4-095A-4A4F-AEC8-D6D7263E88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5">
    <pivotField numFmtId="14" showAll="0"/>
    <pivotField showAll="0">
      <items count="7">
        <item x="3"/>
        <item x="5"/>
        <item x="1"/>
        <item x="2"/>
        <item x="0"/>
        <item x="4"/>
        <item t="default"/>
      </items>
    </pivotField>
    <pivotField showAll="0"/>
    <pivotField showAll="0"/>
    <pivotField showAll="0"/>
    <pivotField showAll="0"/>
    <pivotField showAll="0"/>
    <pivotField showAll="0"/>
    <pivotField showAll="0"/>
    <pivotField dataField="1" showAll="0"/>
    <pivotField showAll="0"/>
    <pivotField axis="axisRow" showAll="0">
      <items count="8">
        <item x="0"/>
        <item x="1"/>
        <item x="2"/>
        <item x="3"/>
        <item x="4"/>
        <item x="5"/>
        <item x="6"/>
        <item t="default"/>
      </items>
    </pivotField>
    <pivotField showAll="0"/>
    <pivotField numFmtId="2" showAll="0"/>
    <pivotField showAll="0"/>
  </pivotFields>
  <rowFields count="1">
    <field x="11"/>
  </rowFields>
  <rowItems count="8">
    <i>
      <x/>
    </i>
    <i>
      <x v="1"/>
    </i>
    <i>
      <x v="2"/>
    </i>
    <i>
      <x v="3"/>
    </i>
    <i>
      <x v="4"/>
    </i>
    <i>
      <x v="5"/>
    </i>
    <i>
      <x v="6"/>
    </i>
    <i t="grand">
      <x/>
    </i>
  </rowItems>
  <colItems count="1">
    <i/>
  </colItems>
  <dataFields count="1">
    <dataField name="Sum of Fuel_Cost_Total" fld="9"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0DC8F-63E8-4977-956E-C67A1F109B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5">
    <pivotField numFmtId="14" showAll="0"/>
    <pivotField axis="axisRow" showAll="0">
      <items count="7">
        <item x="3"/>
        <item x="5"/>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s>
  <rowFields count="1">
    <field x="1"/>
  </rowFields>
  <rowItems count="7">
    <i>
      <x/>
    </i>
    <i>
      <x v="1"/>
    </i>
    <i>
      <x v="2"/>
    </i>
    <i>
      <x v="3"/>
    </i>
    <i>
      <x v="4"/>
    </i>
    <i>
      <x v="5"/>
    </i>
    <i t="grand">
      <x/>
    </i>
  </rowItems>
  <colItems count="1">
    <i/>
  </colItems>
  <dataFields count="1">
    <dataField name="Average of Km_per_Liter" fld="13" subtotal="average" baseField="1" baseItem="0" numFmtId="2"/>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B5CB2-CCC1-4BB7-A356-E6F8874831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numFmtId="14" showAll="0"/>
    <pivotField showAll="0">
      <items count="7">
        <item x="3"/>
        <item x="5"/>
        <item x="1"/>
        <item x="2"/>
        <item x="0"/>
        <item x="4"/>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numFmtId="2" showAll="0"/>
    <pivotField showAll="0"/>
  </pivotFields>
  <rowFields count="1">
    <field x="3"/>
  </rowFields>
  <rowItems count="4">
    <i>
      <x/>
    </i>
    <i>
      <x v="1"/>
    </i>
    <i>
      <x v="2"/>
    </i>
    <i t="grand">
      <x/>
    </i>
  </rowItems>
  <colItems count="1">
    <i/>
  </colItems>
  <dataFields count="1">
    <dataField name="Sum of Distance" fld="6" baseField="0" baseItem="0"/>
  </dataFields>
  <chartFormats count="5">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Name" xr10:uid="{44301EE4-E89D-42DB-AA81-D574DF3B4150}" sourceName="Equipment_Name">
  <pivotTables>
    <pivotTable tabId="6" name="PivotTable1"/>
    <pivotTable tabId="8" name="PivotTable3"/>
    <pivotTable tabId="9" name="PivotTable4"/>
    <pivotTable tabId="7" name="PivotTable2"/>
  </pivotTables>
  <data>
    <tabular pivotCacheId="556887444">
      <items count="6">
        <i x="3" s="1"/>
        <i x="5"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quipment_Name" xr10:uid="{B8576C0D-E168-462C-9C3F-B3EBDBDB4B45}" cache="Slicer_Equipment_Name" caption="Equipment_Nam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0D03B-3B93-4783-ACA8-AF63CCCDE4FB}" name="MileageTable" displayName="MileageTable" ref="A1:O201" totalsRowShown="0" headerRowDxfId="20" dataDxfId="18" headerRowBorderDxfId="19" tableBorderDxfId="17" totalsRowBorderDxfId="16">
  <autoFilter ref="A1:O201" xr:uid="{0320D03B-3B93-4783-ACA8-AF63CCCDE4FB}"/>
  <tableColumns count="15">
    <tableColumn id="1" xr3:uid="{3002C1C8-D78B-4DAE-B4DD-1914334587AF}" name="Date" dataDxfId="15"/>
    <tableColumn id="2" xr3:uid="{672C62C1-2190-47DA-ADF0-D0B793A21B39}" name="Equipment_Name" dataDxfId="14">
      <calculatedColumnFormula array="1">INDEX(Lists!$A$1:$A$6, RANDBETWEEN(1,6))</calculatedColumnFormula>
    </tableColumn>
    <tableColumn id="3" xr3:uid="{8BFA13CB-84D0-45A3-A355-17879D6117D1}" name="Equipment_ID" dataDxfId="13">
      <calculatedColumnFormula>_xlfn.XLOOKUP(B2, Lists!$A$1:$A$6, Lists!$B$1:$B$6)</calculatedColumnFormula>
    </tableColumn>
    <tableColumn id="4" xr3:uid="{D48B69FC-5A3B-483F-A619-02F00A847B18}" name="Department" dataDxfId="12">
      <calculatedColumnFormula array="1">INDEX(Lists!$C$1:$C$3, RANDBETWEEN(1,3))</calculatedColumnFormula>
    </tableColumn>
    <tableColumn id="5" xr3:uid="{377F8DC2-D4A7-4548-B760-011B0A53E21D}" name="Odometer_Start" dataDxfId="11">
      <calculatedColumnFormula>RANDBETWEEN(500,5000)</calculatedColumnFormula>
    </tableColumn>
    <tableColumn id="6" xr3:uid="{B5265439-14DB-48E4-B567-66606B54976F}" name="Odometer_End" dataDxfId="10">
      <calculatedColumnFormula>E2 + RANDBETWEEN(5,80)</calculatedColumnFormula>
    </tableColumn>
    <tableColumn id="7" xr3:uid="{A8AF9E87-B36D-4BB0-99CE-6318579DCB8B}" name="Distance" dataDxfId="9">
      <calculatedColumnFormula>F2 - E2</calculatedColumnFormula>
    </tableColumn>
    <tableColumn id="8" xr3:uid="{AC51BEB1-2079-4164-BA5B-063F71A0A0CE}" name="Fuel_Liters" dataDxfId="8">
      <calculatedColumnFormula>ROUND(RANDBETWEEN(5,25)*0.5,1)</calculatedColumnFormula>
    </tableColumn>
    <tableColumn id="9" xr3:uid="{E9E7AE12-F7A9-4464-BA83-8CCB1715AAFB}" name="Fuel_Cost_per_Liter" dataDxfId="7">
      <calculatedColumnFormula>ROUND(3.2 + RAND()*0.6, 2)</calculatedColumnFormula>
    </tableColumn>
    <tableColumn id="10" xr3:uid="{3AFF5FB4-2270-4CBB-977C-E5457FEBBDB4}" name="Fuel_Cost_Total" dataDxfId="6">
      <calculatedColumnFormula>H2 * I2</calculatedColumnFormula>
    </tableColumn>
    <tableColumn id="11" xr3:uid="{2E2B8EDD-1CEE-4854-8586-376AAFDE3ECE}" name="Driver_Name" dataDxfId="5">
      <calculatedColumnFormula array="1">INDEX(Lists!$D$1:$D$4, RANDBETWEEN(1,4))</calculatedColumnFormula>
    </tableColumn>
    <tableColumn id="12" xr3:uid="{FCDF5556-EE07-493C-B0D9-AA469537A9BA}" name="Month" dataDxfId="4">
      <calculatedColumnFormula>TEXT(A2,"yyyy-mm")</calculatedColumnFormula>
    </tableColumn>
    <tableColumn id="13" xr3:uid="{E6294928-D870-40C3-80E5-95C4BF3314D3}" name="Year" dataDxfId="3">
      <calculatedColumnFormula>YEAR(A2)</calculatedColumnFormula>
    </tableColumn>
    <tableColumn id="14" xr3:uid="{BD8DDA6F-9AEB-41C8-B0B1-4C0B55402E80}" name="Km_per_Liter" dataDxfId="2">
      <calculatedColumnFormula>IF(H2=0,"", G2/H2)</calculatedColumnFormula>
    </tableColumn>
    <tableColumn id="15" xr3:uid="{4E019019-6ED1-44E5-8976-754FD963FF99}" name="Usage_Category." dataDxfId="1">
      <calculatedColumnFormula>IF(G2&lt;20,"Short", IF(G2&lt;=50,"Medium","Long"))</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9F92-704C-4FD5-863E-CB4AA582B322}">
  <dimension ref="A1:O201"/>
  <sheetViews>
    <sheetView topLeftCell="A2" workbookViewId="0">
      <selection activeCell="B7" sqref="B7"/>
    </sheetView>
  </sheetViews>
  <sheetFormatPr defaultRowHeight="15"/>
  <cols>
    <col min="1" max="1" width="11.28515625" style="4" customWidth="1"/>
    <col min="2" max="2" width="25.42578125" style="6" customWidth="1"/>
    <col min="3" max="3" width="20.7109375" style="6" customWidth="1"/>
    <col min="4" max="4" width="18.140625" style="6" customWidth="1"/>
    <col min="5" max="5" width="23.140625" style="4" customWidth="1"/>
    <col min="6" max="6" width="21.85546875" style="4" customWidth="1"/>
    <col min="7" max="7" width="14.5703125" style="4" customWidth="1"/>
    <col min="8" max="8" width="17" style="4" customWidth="1"/>
    <col min="9" max="9" width="28.140625" style="4" customWidth="1"/>
    <col min="10" max="10" width="23.140625" style="4" customWidth="1"/>
    <col min="11" max="11" width="19.28515625" style="6" customWidth="1"/>
    <col min="12" max="12" width="11" style="4" customWidth="1"/>
    <col min="13" max="13" width="9.140625" style="4"/>
    <col min="14" max="14" width="19.7109375" style="5" customWidth="1"/>
  </cols>
  <sheetData>
    <row r="1" spans="1:15" ht="21">
      <c r="A1" s="10" t="s">
        <v>23</v>
      </c>
      <c r="B1" s="11" t="s">
        <v>6</v>
      </c>
      <c r="C1" s="11" t="s">
        <v>7</v>
      </c>
      <c r="D1" s="11" t="s">
        <v>14</v>
      </c>
      <c r="E1" s="12" t="s">
        <v>24</v>
      </c>
      <c r="F1" s="12" t="s">
        <v>25</v>
      </c>
      <c r="G1" s="12" t="s">
        <v>26</v>
      </c>
      <c r="H1" s="12" t="s">
        <v>27</v>
      </c>
      <c r="I1" s="12" t="s">
        <v>28</v>
      </c>
      <c r="J1" s="12" t="s">
        <v>29</v>
      </c>
      <c r="K1" s="11" t="s">
        <v>18</v>
      </c>
      <c r="L1" s="12" t="s">
        <v>30</v>
      </c>
      <c r="M1" s="12" t="s">
        <v>31</v>
      </c>
      <c r="N1" s="13" t="s">
        <v>32</v>
      </c>
      <c r="O1" s="12" t="s">
        <v>45</v>
      </c>
    </row>
    <row r="2" spans="1:15">
      <c r="A2" s="14">
        <v>45566</v>
      </c>
      <c r="B2" s="15" t="str" cm="1">
        <f t="array" aca="1" ref="B2" ca="1">INDEX(Lists!$A$1:$A$6, RANDBETWEEN(1,6))</f>
        <v>Mini Excavator</v>
      </c>
      <c r="C2" s="15" t="str">
        <f ca="1">_xlfn.XLOOKUP(B2, Lists!$A$1:$A$6, Lists!$B$1:$B$6)</f>
        <v>ME6(10682709)</v>
      </c>
      <c r="D2" s="15" t="str" cm="1">
        <f t="array" aca="1" ref="D2" ca="1">INDEX(Lists!$C$1:$C$3, RANDBETWEEN(1,3))</f>
        <v>Operations</v>
      </c>
      <c r="E2" s="16">
        <f ca="1">RANDBETWEEN(500,5000)</f>
        <v>3569</v>
      </c>
      <c r="F2" s="16">
        <f ca="1">E2 + RANDBETWEEN(5,80)</f>
        <v>3642</v>
      </c>
      <c r="G2" s="16">
        <f ca="1">F2 - E2</f>
        <v>73</v>
      </c>
      <c r="H2" s="16">
        <f ca="1">ROUND(RANDBETWEEN(5,25)*0.5,1)</f>
        <v>8.5</v>
      </c>
      <c r="I2" s="16">
        <f ca="1">ROUND(3.2 + RAND()*0.6, 2)</f>
        <v>3.39</v>
      </c>
      <c r="J2" s="16">
        <f ca="1">H2 * I2</f>
        <v>28.815000000000001</v>
      </c>
      <c r="K2" s="15" t="str" cm="1">
        <f t="array" aca="1" ref="K2" ca="1">INDEX(Lists!$D$1:$D$4, RANDBETWEEN(1,4))</f>
        <v>Ahmed</v>
      </c>
      <c r="L2" s="16" t="str">
        <f>TEXT(A2,"yyyy-mm")</f>
        <v>2024-10</v>
      </c>
      <c r="M2" s="16">
        <f>YEAR(A2)</f>
        <v>2024</v>
      </c>
      <c r="N2" s="17">
        <f ca="1">IF(H2=0,"", G2/H2)</f>
        <v>8.5882352941176467</v>
      </c>
      <c r="O2" s="22" t="str">
        <f t="shared" ref="O2:O33" ca="1" si="0">IF(G2&lt;20,"Short", IF(G2&lt;=50,"Medium","Long"))</f>
        <v>Long</v>
      </c>
    </row>
    <row r="3" spans="1:15">
      <c r="A3" s="14">
        <v>45567</v>
      </c>
      <c r="B3" s="15" t="str" cm="1">
        <f t="array" aca="1" ref="B3" ca="1">INDEX(Lists!$A$1:$A$6, RANDBETWEEN(1,6))</f>
        <v>Bobcat</v>
      </c>
      <c r="C3" s="15" t="str">
        <f ca="1">_xlfn.XLOOKUP(B3, Lists!$A$1:$A$6, Lists!$B$1:$B$6)</f>
        <v>BC1(10931016)</v>
      </c>
      <c r="D3" s="15" t="str" cm="1">
        <f t="array" aca="1" ref="D3" ca="1">INDEX(Lists!$C$1:$C$3, RANDBETWEEN(1,3))</f>
        <v>Yard</v>
      </c>
      <c r="E3" s="16">
        <f t="shared" ref="E3:E201" ca="1" si="1">RANDBETWEEN(500,5000)</f>
        <v>4545</v>
      </c>
      <c r="F3" s="16">
        <f t="shared" ref="F3:F201" ca="1" si="2">E3 + RANDBETWEEN(5,80)</f>
        <v>4622</v>
      </c>
      <c r="G3" s="16">
        <f t="shared" ref="G3:G33" ca="1" si="3">F3 - E3</f>
        <v>77</v>
      </c>
      <c r="H3" s="16">
        <f t="shared" ref="H3:H201" ca="1" si="4">ROUND(RANDBETWEEN(5,25)*0.5,1)</f>
        <v>11</v>
      </c>
      <c r="I3" s="16">
        <f t="shared" ref="I3:I201" ca="1" si="5">ROUND(3.2 + RAND()*0.6, 2)</f>
        <v>3.57</v>
      </c>
      <c r="J3" s="16">
        <f t="shared" ref="J3:J33" ca="1" si="6">H3 * I3</f>
        <v>39.269999999999996</v>
      </c>
      <c r="K3" s="15" t="str" cm="1">
        <f t="array" aca="1" ref="K3" ca="1">INDEX(Lists!$D$1:$D$4, RANDBETWEEN(1,4))</f>
        <v>Ahmed</v>
      </c>
      <c r="L3" s="16" t="str">
        <f t="shared" ref="L3:L33" si="7">TEXT(A3,"yyyy-mm")</f>
        <v>2024-10</v>
      </c>
      <c r="M3" s="16">
        <f t="shared" ref="M3:M33" si="8">YEAR(A3)</f>
        <v>2024</v>
      </c>
      <c r="N3" s="17">
        <f t="shared" ref="N3:N33" ca="1" si="9">IF(H3=0,"", G3/H3)</f>
        <v>7</v>
      </c>
      <c r="O3" s="16" t="str">
        <f t="shared" ca="1" si="0"/>
        <v>Long</v>
      </c>
    </row>
    <row r="4" spans="1:15">
      <c r="A4" s="14">
        <v>45568</v>
      </c>
      <c r="B4" s="15" t="str" cm="1">
        <f t="array" aca="1" ref="B4" ca="1">INDEX(Lists!$A$1:$A$6, RANDBETWEEN(1,6))</f>
        <v>Welding Machine</v>
      </c>
      <c r="C4" s="15" t="str">
        <f ca="1">_xlfn.XLOOKUP(B4, Lists!$A$1:$A$6, Lists!$B$1:$B$6)</f>
        <v>WM12(WD5-000729)</v>
      </c>
      <c r="D4" s="15" t="str" cm="1">
        <f t="array" aca="1" ref="D4" ca="1">INDEX(Lists!$C$1:$C$3, RANDBETWEEN(1,3))</f>
        <v>Operations</v>
      </c>
      <c r="E4" s="16">
        <f t="shared" ca="1" si="1"/>
        <v>984</v>
      </c>
      <c r="F4" s="16">
        <f t="shared" ca="1" si="2"/>
        <v>1003</v>
      </c>
      <c r="G4" s="16">
        <f t="shared" ca="1" si="3"/>
        <v>19</v>
      </c>
      <c r="H4" s="16">
        <f t="shared" ca="1" si="4"/>
        <v>4.5</v>
      </c>
      <c r="I4" s="16">
        <f t="shared" ca="1" si="5"/>
        <v>3.57</v>
      </c>
      <c r="J4" s="16">
        <f t="shared" ca="1" si="6"/>
        <v>16.064999999999998</v>
      </c>
      <c r="K4" s="15" t="str" cm="1">
        <f t="array" aca="1" ref="K4" ca="1">INDEX(Lists!$D$1:$D$4, RANDBETWEEN(1,4))</f>
        <v>Jose</v>
      </c>
      <c r="L4" s="16" t="str">
        <f t="shared" si="7"/>
        <v>2024-10</v>
      </c>
      <c r="M4" s="16">
        <f t="shared" si="8"/>
        <v>2024</v>
      </c>
      <c r="N4" s="17">
        <f t="shared" ca="1" si="9"/>
        <v>4.2222222222222223</v>
      </c>
      <c r="O4" s="16" t="str">
        <f t="shared" ca="1" si="0"/>
        <v>Short</v>
      </c>
    </row>
    <row r="5" spans="1:15">
      <c r="A5" s="14">
        <v>45569</v>
      </c>
      <c r="B5" s="15" t="str" cm="1">
        <f t="array" aca="1" ref="B5" ca="1">INDEX(Lists!$A$1:$A$6, RANDBETWEEN(1,6))</f>
        <v>Welding Machine</v>
      </c>
      <c r="C5" s="15" t="str">
        <f ca="1">_xlfn.XLOOKUP(B5, Lists!$A$1:$A$6, Lists!$B$1:$B$6)</f>
        <v>WM12(WD5-000729)</v>
      </c>
      <c r="D5" s="15" t="str" cm="1">
        <f t="array" aca="1" ref="D5" ca="1">INDEX(Lists!$C$1:$C$3, RANDBETWEEN(1,3))</f>
        <v>Operations</v>
      </c>
      <c r="E5" s="16">
        <f t="shared" ca="1" si="1"/>
        <v>4350</v>
      </c>
      <c r="F5" s="16">
        <f t="shared" ca="1" si="2"/>
        <v>4363</v>
      </c>
      <c r="G5" s="16">
        <f t="shared" ca="1" si="3"/>
        <v>13</v>
      </c>
      <c r="H5" s="16">
        <f t="shared" ca="1" si="4"/>
        <v>4.5</v>
      </c>
      <c r="I5" s="16">
        <f t="shared" ca="1" si="5"/>
        <v>3.39</v>
      </c>
      <c r="J5" s="16">
        <f t="shared" ca="1" si="6"/>
        <v>15.255000000000001</v>
      </c>
      <c r="K5" s="15" t="str" cm="1">
        <f t="array" aca="1" ref="K5" ca="1">INDEX(Lists!$D$1:$D$4, RANDBETWEEN(1,4))</f>
        <v>Maria</v>
      </c>
      <c r="L5" s="16" t="str">
        <f t="shared" si="7"/>
        <v>2024-10</v>
      </c>
      <c r="M5" s="16">
        <f t="shared" si="8"/>
        <v>2024</v>
      </c>
      <c r="N5" s="17">
        <f t="shared" ca="1" si="9"/>
        <v>2.8888888888888888</v>
      </c>
      <c r="O5" s="16" t="str">
        <f t="shared" ca="1" si="0"/>
        <v>Short</v>
      </c>
    </row>
    <row r="6" spans="1:15">
      <c r="A6" s="14">
        <v>45570</v>
      </c>
      <c r="B6" s="15" t="str" cm="1">
        <f t="array" aca="1" ref="B6" ca="1">INDEX(Lists!$A$1:$A$6, RANDBETWEEN(1,6))</f>
        <v>Bobcat</v>
      </c>
      <c r="C6" s="15" t="str">
        <f ca="1">_xlfn.XLOOKUP(B6, Lists!$A$1:$A$6, Lists!$B$1:$B$6)</f>
        <v>BC1(10931016)</v>
      </c>
      <c r="D6" s="15" t="str" cm="1">
        <f t="array" aca="1" ref="D6" ca="1">INDEX(Lists!$C$1:$C$3, RANDBETWEEN(1,3))</f>
        <v>Maintenance</v>
      </c>
      <c r="E6" s="16">
        <f t="shared" ca="1" si="1"/>
        <v>4339</v>
      </c>
      <c r="F6" s="16">
        <f t="shared" ca="1" si="2"/>
        <v>4402</v>
      </c>
      <c r="G6" s="16">
        <f t="shared" ca="1" si="3"/>
        <v>63</v>
      </c>
      <c r="H6" s="16">
        <f t="shared" ca="1" si="4"/>
        <v>3</v>
      </c>
      <c r="I6" s="16">
        <f t="shared" ca="1" si="5"/>
        <v>3.7</v>
      </c>
      <c r="J6" s="16">
        <f t="shared" ca="1" si="6"/>
        <v>11.100000000000001</v>
      </c>
      <c r="K6" s="15" t="str" cm="1">
        <f t="array" aca="1" ref="K6" ca="1">INDEX(Lists!$D$1:$D$4, RANDBETWEEN(1,4))</f>
        <v>Maria</v>
      </c>
      <c r="L6" s="16" t="str">
        <f t="shared" si="7"/>
        <v>2024-10</v>
      </c>
      <c r="M6" s="16">
        <f t="shared" si="8"/>
        <v>2024</v>
      </c>
      <c r="N6" s="17">
        <f t="shared" ca="1" si="9"/>
        <v>21</v>
      </c>
      <c r="O6" s="16" t="str">
        <f t="shared" ca="1" si="0"/>
        <v>Long</v>
      </c>
    </row>
    <row r="7" spans="1:15">
      <c r="A7" s="14">
        <v>45571</v>
      </c>
      <c r="B7" s="15" t="str" cm="1">
        <f t="array" aca="1" ref="B7" ca="1">INDEX(Lists!$A$1:$A$6, RANDBETWEEN(1,6))</f>
        <v>Mini Excavator</v>
      </c>
      <c r="C7" s="15" t="str">
        <f ca="1">_xlfn.XLOOKUP(B7, Lists!$A$1:$A$6, Lists!$B$1:$B$6)</f>
        <v>ME6(10682709)</v>
      </c>
      <c r="D7" s="15" t="str" cm="1">
        <f t="array" aca="1" ref="D7" ca="1">INDEX(Lists!$C$1:$C$3, RANDBETWEEN(1,3))</f>
        <v>Yard</v>
      </c>
      <c r="E7" s="16">
        <f t="shared" ca="1" si="1"/>
        <v>4330</v>
      </c>
      <c r="F7" s="16">
        <f t="shared" ca="1" si="2"/>
        <v>4383</v>
      </c>
      <c r="G7" s="16">
        <f t="shared" ca="1" si="3"/>
        <v>53</v>
      </c>
      <c r="H7" s="16">
        <f t="shared" ca="1" si="4"/>
        <v>6.5</v>
      </c>
      <c r="I7" s="16">
        <f t="shared" ca="1" si="5"/>
        <v>3.5</v>
      </c>
      <c r="J7" s="16">
        <f t="shared" ca="1" si="6"/>
        <v>22.75</v>
      </c>
      <c r="K7" s="15" t="str" cm="1">
        <f t="array" aca="1" ref="K7" ca="1">INDEX(Lists!$D$1:$D$4, RANDBETWEEN(1,4))</f>
        <v>Jose</v>
      </c>
      <c r="L7" s="16" t="str">
        <f t="shared" si="7"/>
        <v>2024-10</v>
      </c>
      <c r="M7" s="16">
        <f t="shared" si="8"/>
        <v>2024</v>
      </c>
      <c r="N7" s="17">
        <f t="shared" ca="1" si="9"/>
        <v>8.1538461538461533</v>
      </c>
      <c r="O7" s="16" t="str">
        <f t="shared" ca="1" si="0"/>
        <v>Long</v>
      </c>
    </row>
    <row r="8" spans="1:15">
      <c r="A8" s="14">
        <v>45572</v>
      </c>
      <c r="B8" s="15" t="str" cm="1">
        <f t="array" aca="1" ref="B8" ca="1">INDEX(Lists!$A$1:$A$6, RANDBETWEEN(1,6))</f>
        <v>Welding Machine</v>
      </c>
      <c r="C8" s="15" t="str">
        <f ca="1">_xlfn.XLOOKUP(B8, Lists!$A$1:$A$6, Lists!$B$1:$B$6)</f>
        <v>WM12(WD5-000729)</v>
      </c>
      <c r="D8" s="15" t="str" cm="1">
        <f t="array" aca="1" ref="D8" ca="1">INDEX(Lists!$C$1:$C$3, RANDBETWEEN(1,3))</f>
        <v>Operations</v>
      </c>
      <c r="E8" s="16">
        <f t="shared" ca="1" si="1"/>
        <v>4778</v>
      </c>
      <c r="F8" s="16">
        <f t="shared" ca="1" si="2"/>
        <v>4814</v>
      </c>
      <c r="G8" s="16">
        <f t="shared" ca="1" si="3"/>
        <v>36</v>
      </c>
      <c r="H8" s="16">
        <f t="shared" ca="1" si="4"/>
        <v>9.5</v>
      </c>
      <c r="I8" s="16">
        <f t="shared" ca="1" si="5"/>
        <v>3.51</v>
      </c>
      <c r="J8" s="16">
        <f t="shared" ca="1" si="6"/>
        <v>33.344999999999999</v>
      </c>
      <c r="K8" s="15" t="str" cm="1">
        <f t="array" aca="1" ref="K8" ca="1">INDEX(Lists!$D$1:$D$4, RANDBETWEEN(1,4))</f>
        <v>Jose</v>
      </c>
      <c r="L8" s="16" t="str">
        <f t="shared" si="7"/>
        <v>2024-10</v>
      </c>
      <c r="M8" s="16">
        <f t="shared" si="8"/>
        <v>2024</v>
      </c>
      <c r="N8" s="17">
        <f t="shared" ca="1" si="9"/>
        <v>3.7894736842105261</v>
      </c>
      <c r="O8" s="16" t="str">
        <f t="shared" ca="1" si="0"/>
        <v>Medium</v>
      </c>
    </row>
    <row r="9" spans="1:15">
      <c r="A9" s="14">
        <v>45573</v>
      </c>
      <c r="B9" s="15" t="str" cm="1">
        <f t="array" aca="1" ref="B9" ca="1">INDEX(Lists!$A$1:$A$6, RANDBETWEEN(1,6))</f>
        <v>Bobcat</v>
      </c>
      <c r="C9" s="15" t="str">
        <f ca="1">_xlfn.XLOOKUP(B9, Lists!$A$1:$A$6, Lists!$B$1:$B$6)</f>
        <v>BC1(10931016)</v>
      </c>
      <c r="D9" s="15" t="str" cm="1">
        <f t="array" aca="1" ref="D9" ca="1">INDEX(Lists!$C$1:$C$3, RANDBETWEEN(1,3))</f>
        <v>Operations</v>
      </c>
      <c r="E9" s="16">
        <f t="shared" ca="1" si="1"/>
        <v>4657</v>
      </c>
      <c r="F9" s="16">
        <f t="shared" ca="1" si="2"/>
        <v>4703</v>
      </c>
      <c r="G9" s="16">
        <f t="shared" ca="1" si="3"/>
        <v>46</v>
      </c>
      <c r="H9" s="16">
        <f t="shared" ca="1" si="4"/>
        <v>12</v>
      </c>
      <c r="I9" s="16">
        <f t="shared" ca="1" si="5"/>
        <v>3.48</v>
      </c>
      <c r="J9" s="16">
        <f t="shared" ca="1" si="6"/>
        <v>41.76</v>
      </c>
      <c r="K9" s="15" t="str" cm="1">
        <f t="array" aca="1" ref="K9" ca="1">INDEX(Lists!$D$1:$D$4, RANDBETWEEN(1,4))</f>
        <v>Ahmed</v>
      </c>
      <c r="L9" s="16" t="str">
        <f t="shared" si="7"/>
        <v>2024-10</v>
      </c>
      <c r="M9" s="16">
        <f t="shared" si="8"/>
        <v>2024</v>
      </c>
      <c r="N9" s="17">
        <f t="shared" ca="1" si="9"/>
        <v>3.8333333333333335</v>
      </c>
      <c r="O9" s="16" t="str">
        <f t="shared" ca="1" si="0"/>
        <v>Medium</v>
      </c>
    </row>
    <row r="10" spans="1:15">
      <c r="A10" s="14">
        <v>45574</v>
      </c>
      <c r="B10" s="15" t="str" cm="1">
        <f t="array" aca="1" ref="B10" ca="1">INDEX(Lists!$A$1:$A$6, RANDBETWEEN(1,6))</f>
        <v>Front End Loader</v>
      </c>
      <c r="C10" s="15" t="str">
        <f ca="1">_xlfn.XLOOKUP(B10, Lists!$A$1:$A$6, Lists!$B$1:$B$6)</f>
        <v>FE1(10930360)</v>
      </c>
      <c r="D10" s="15" t="str" cm="1">
        <f t="array" aca="1" ref="D10" ca="1">INDEX(Lists!$C$1:$C$3, RANDBETWEEN(1,3))</f>
        <v>Operations</v>
      </c>
      <c r="E10" s="16">
        <f t="shared" ca="1" si="1"/>
        <v>2947</v>
      </c>
      <c r="F10" s="16">
        <f t="shared" ca="1" si="2"/>
        <v>2959</v>
      </c>
      <c r="G10" s="16">
        <f t="shared" ca="1" si="3"/>
        <v>12</v>
      </c>
      <c r="H10" s="16">
        <f t="shared" ca="1" si="4"/>
        <v>3.5</v>
      </c>
      <c r="I10" s="16">
        <f t="shared" ca="1" si="5"/>
        <v>3.72</v>
      </c>
      <c r="J10" s="16">
        <f t="shared" ca="1" si="6"/>
        <v>13.020000000000001</v>
      </c>
      <c r="K10" s="15" t="str" cm="1">
        <f t="array" aca="1" ref="K10" ca="1">INDEX(Lists!$D$1:$D$4, RANDBETWEEN(1,4))</f>
        <v>Ahmed</v>
      </c>
      <c r="L10" s="16" t="str">
        <f t="shared" si="7"/>
        <v>2024-10</v>
      </c>
      <c r="M10" s="16">
        <f t="shared" si="8"/>
        <v>2024</v>
      </c>
      <c r="N10" s="17">
        <f t="shared" ca="1" si="9"/>
        <v>3.4285714285714284</v>
      </c>
      <c r="O10" s="16" t="str">
        <f t="shared" ca="1" si="0"/>
        <v>Short</v>
      </c>
    </row>
    <row r="11" spans="1:15">
      <c r="A11" s="14">
        <v>45575</v>
      </c>
      <c r="B11" s="15" t="str" cm="1">
        <f t="array" aca="1" ref="B11" ca="1">INDEX(Lists!$A$1:$A$6, RANDBETWEEN(1,6))</f>
        <v>Mini Excavator</v>
      </c>
      <c r="C11" s="15" t="str">
        <f ca="1">_xlfn.XLOOKUP(B11, Lists!$A$1:$A$6, Lists!$B$1:$B$6)</f>
        <v>ME6(10682709)</v>
      </c>
      <c r="D11" s="15" t="str" cm="1">
        <f t="array" aca="1" ref="D11" ca="1">INDEX(Lists!$C$1:$C$3, RANDBETWEEN(1,3))</f>
        <v>Operations</v>
      </c>
      <c r="E11" s="16">
        <f t="shared" ca="1" si="1"/>
        <v>1178</v>
      </c>
      <c r="F11" s="16">
        <f t="shared" ca="1" si="2"/>
        <v>1234</v>
      </c>
      <c r="G11" s="16">
        <f t="shared" ca="1" si="3"/>
        <v>56</v>
      </c>
      <c r="H11" s="16">
        <f t="shared" ca="1" si="4"/>
        <v>5.5</v>
      </c>
      <c r="I11" s="16">
        <f t="shared" ca="1" si="5"/>
        <v>3.76</v>
      </c>
      <c r="J11" s="16">
        <f t="shared" ca="1" si="6"/>
        <v>20.68</v>
      </c>
      <c r="K11" s="15" t="str" cm="1">
        <f t="array" aca="1" ref="K11" ca="1">INDEX(Lists!$D$1:$D$4, RANDBETWEEN(1,4))</f>
        <v>Ahmed</v>
      </c>
      <c r="L11" s="16" t="str">
        <f t="shared" si="7"/>
        <v>2024-10</v>
      </c>
      <c r="M11" s="16">
        <f t="shared" si="8"/>
        <v>2024</v>
      </c>
      <c r="N11" s="17">
        <f t="shared" ca="1" si="9"/>
        <v>10.181818181818182</v>
      </c>
      <c r="O11" s="16" t="str">
        <f t="shared" ca="1" si="0"/>
        <v>Long</v>
      </c>
    </row>
    <row r="12" spans="1:15">
      <c r="A12" s="14">
        <v>45576</v>
      </c>
      <c r="B12" s="15" t="str" cm="1">
        <f t="array" aca="1" ref="B12" ca="1">INDEX(Lists!$A$1:$A$6, RANDBETWEEN(1,6))</f>
        <v>Mini Excavator</v>
      </c>
      <c r="C12" s="15" t="str">
        <f ca="1">_xlfn.XLOOKUP(B12, Lists!$A$1:$A$6, Lists!$B$1:$B$6)</f>
        <v>ME6(10682709)</v>
      </c>
      <c r="D12" s="15" t="str" cm="1">
        <f t="array" aca="1" ref="D12" ca="1">INDEX(Lists!$C$1:$C$3, RANDBETWEEN(1,3))</f>
        <v>Operations</v>
      </c>
      <c r="E12" s="16">
        <f t="shared" ca="1" si="1"/>
        <v>1040</v>
      </c>
      <c r="F12" s="16">
        <f t="shared" ca="1" si="2"/>
        <v>1088</v>
      </c>
      <c r="G12" s="16">
        <f t="shared" ca="1" si="3"/>
        <v>48</v>
      </c>
      <c r="H12" s="16">
        <f t="shared" ca="1" si="4"/>
        <v>11.5</v>
      </c>
      <c r="I12" s="16">
        <f t="shared" ca="1" si="5"/>
        <v>3.72</v>
      </c>
      <c r="J12" s="16">
        <f t="shared" ca="1" si="6"/>
        <v>42.78</v>
      </c>
      <c r="K12" s="15" t="str" cm="1">
        <f t="array" aca="1" ref="K12" ca="1">INDEX(Lists!$D$1:$D$4, RANDBETWEEN(1,4))</f>
        <v>Jose</v>
      </c>
      <c r="L12" s="16" t="str">
        <f t="shared" si="7"/>
        <v>2024-10</v>
      </c>
      <c r="M12" s="16">
        <f t="shared" si="8"/>
        <v>2024</v>
      </c>
      <c r="N12" s="17">
        <f t="shared" ca="1" si="9"/>
        <v>4.1739130434782608</v>
      </c>
      <c r="O12" s="16" t="str">
        <f t="shared" ca="1" si="0"/>
        <v>Medium</v>
      </c>
    </row>
    <row r="13" spans="1:15">
      <c r="A13" s="14">
        <v>45577</v>
      </c>
      <c r="B13" s="15" t="str" cm="1">
        <f t="array" aca="1" ref="B13" ca="1">INDEX(Lists!$A$1:$A$6, RANDBETWEEN(1,6))</f>
        <v>Forklift</v>
      </c>
      <c r="C13" s="15" t="str">
        <f ca="1">_xlfn.XLOOKUP(B13, Lists!$A$1:$A$6, Lists!$B$1:$B$6)</f>
        <v>F7(217595AH)</v>
      </c>
      <c r="D13" s="15" t="str" cm="1">
        <f t="array" aca="1" ref="D13" ca="1">INDEX(Lists!$C$1:$C$3, RANDBETWEEN(1,3))</f>
        <v>Operations</v>
      </c>
      <c r="E13" s="16">
        <f t="shared" ca="1" si="1"/>
        <v>2386</v>
      </c>
      <c r="F13" s="16">
        <f t="shared" ca="1" si="2"/>
        <v>2466</v>
      </c>
      <c r="G13" s="16">
        <f t="shared" ca="1" si="3"/>
        <v>80</v>
      </c>
      <c r="H13" s="16">
        <f t="shared" ca="1" si="4"/>
        <v>2.5</v>
      </c>
      <c r="I13" s="16">
        <f t="shared" ca="1" si="5"/>
        <v>3.5</v>
      </c>
      <c r="J13" s="16">
        <f t="shared" ca="1" si="6"/>
        <v>8.75</v>
      </c>
      <c r="K13" s="15" t="str" cm="1">
        <f t="array" aca="1" ref="K13" ca="1">INDEX(Lists!$D$1:$D$4, RANDBETWEEN(1,4))</f>
        <v>Ravi</v>
      </c>
      <c r="L13" s="16" t="str">
        <f t="shared" si="7"/>
        <v>2024-10</v>
      </c>
      <c r="M13" s="16">
        <f t="shared" si="8"/>
        <v>2024</v>
      </c>
      <c r="N13" s="17">
        <f t="shared" ca="1" si="9"/>
        <v>32</v>
      </c>
      <c r="O13" s="16" t="str">
        <f t="shared" ca="1" si="0"/>
        <v>Long</v>
      </c>
    </row>
    <row r="14" spans="1:15">
      <c r="A14" s="14">
        <v>45578</v>
      </c>
      <c r="B14" s="15" t="str" cm="1">
        <f t="array" aca="1" ref="B14" ca="1">INDEX(Lists!$A$1:$A$6, RANDBETWEEN(1,6))</f>
        <v>Forklift</v>
      </c>
      <c r="C14" s="15" t="str">
        <f ca="1">_xlfn.XLOOKUP(B14, Lists!$A$1:$A$6, Lists!$B$1:$B$6)</f>
        <v>F7(217595AH)</v>
      </c>
      <c r="D14" s="15" t="str" cm="1">
        <f t="array" aca="1" ref="D14" ca="1">INDEX(Lists!$C$1:$C$3, RANDBETWEEN(1,3))</f>
        <v>Operations</v>
      </c>
      <c r="E14" s="16">
        <f t="shared" ca="1" si="1"/>
        <v>558</v>
      </c>
      <c r="F14" s="16">
        <f t="shared" ca="1" si="2"/>
        <v>618</v>
      </c>
      <c r="G14" s="16">
        <f t="shared" ca="1" si="3"/>
        <v>60</v>
      </c>
      <c r="H14" s="16">
        <f t="shared" ca="1" si="4"/>
        <v>10.5</v>
      </c>
      <c r="I14" s="16">
        <f t="shared" ca="1" si="5"/>
        <v>3.29</v>
      </c>
      <c r="J14" s="16">
        <f t="shared" ca="1" si="6"/>
        <v>34.545000000000002</v>
      </c>
      <c r="K14" s="15" t="str" cm="1">
        <f t="array" aca="1" ref="K14" ca="1">INDEX(Lists!$D$1:$D$4, RANDBETWEEN(1,4))</f>
        <v>Ravi</v>
      </c>
      <c r="L14" s="16" t="str">
        <f t="shared" si="7"/>
        <v>2024-10</v>
      </c>
      <c r="M14" s="16">
        <f t="shared" si="8"/>
        <v>2024</v>
      </c>
      <c r="N14" s="17">
        <f t="shared" ca="1" si="9"/>
        <v>5.7142857142857144</v>
      </c>
      <c r="O14" s="16" t="str">
        <f t="shared" ca="1" si="0"/>
        <v>Long</v>
      </c>
    </row>
    <row r="15" spans="1:15">
      <c r="A15" s="14">
        <v>45579</v>
      </c>
      <c r="B15" s="15" t="str" cm="1">
        <f t="array" aca="1" ref="B15" ca="1">INDEX(Lists!$A$1:$A$6, RANDBETWEEN(1,6))</f>
        <v>Forklift</v>
      </c>
      <c r="C15" s="15" t="str">
        <f ca="1">_xlfn.XLOOKUP(B15, Lists!$A$1:$A$6, Lists!$B$1:$B$6)</f>
        <v>F7(217595AH)</v>
      </c>
      <c r="D15" s="15" t="str" cm="1">
        <f t="array" aca="1" ref="D15" ca="1">INDEX(Lists!$C$1:$C$3, RANDBETWEEN(1,3))</f>
        <v>Operations</v>
      </c>
      <c r="E15" s="16">
        <f t="shared" ca="1" si="1"/>
        <v>3878</v>
      </c>
      <c r="F15" s="16">
        <f t="shared" ca="1" si="2"/>
        <v>3914</v>
      </c>
      <c r="G15" s="16">
        <f t="shared" ca="1" si="3"/>
        <v>36</v>
      </c>
      <c r="H15" s="16">
        <f t="shared" ca="1" si="4"/>
        <v>9.5</v>
      </c>
      <c r="I15" s="16">
        <f t="shared" ca="1" si="5"/>
        <v>3.35</v>
      </c>
      <c r="J15" s="16">
        <f t="shared" ca="1" si="6"/>
        <v>31.824999999999999</v>
      </c>
      <c r="K15" s="15" t="str" cm="1">
        <f t="array" aca="1" ref="K15" ca="1">INDEX(Lists!$D$1:$D$4, RANDBETWEEN(1,4))</f>
        <v>Ravi</v>
      </c>
      <c r="L15" s="16" t="str">
        <f t="shared" si="7"/>
        <v>2024-10</v>
      </c>
      <c r="M15" s="16">
        <f t="shared" si="8"/>
        <v>2024</v>
      </c>
      <c r="N15" s="17">
        <f t="shared" ca="1" si="9"/>
        <v>3.7894736842105261</v>
      </c>
      <c r="O15" s="16" t="str">
        <f t="shared" ca="1" si="0"/>
        <v>Medium</v>
      </c>
    </row>
    <row r="16" spans="1:15">
      <c r="A16" s="14">
        <v>45580</v>
      </c>
      <c r="B16" s="15" t="str" cm="1">
        <f t="array" aca="1" ref="B16" ca="1">INDEX(Lists!$A$1:$A$6, RANDBETWEEN(1,6))</f>
        <v>Welding Machine</v>
      </c>
      <c r="C16" s="15" t="str">
        <f ca="1">_xlfn.XLOOKUP(B16, Lists!$A$1:$A$6, Lists!$B$1:$B$6)</f>
        <v>WM12(WD5-000729)</v>
      </c>
      <c r="D16" s="15" t="str" cm="1">
        <f t="array" aca="1" ref="D16" ca="1">INDEX(Lists!$C$1:$C$3, RANDBETWEEN(1,3))</f>
        <v>Maintenance</v>
      </c>
      <c r="E16" s="16">
        <f t="shared" ca="1" si="1"/>
        <v>1273</v>
      </c>
      <c r="F16" s="16">
        <f t="shared" ca="1" si="2"/>
        <v>1288</v>
      </c>
      <c r="G16" s="16">
        <f t="shared" ca="1" si="3"/>
        <v>15</v>
      </c>
      <c r="H16" s="16">
        <f t="shared" ca="1" si="4"/>
        <v>11</v>
      </c>
      <c r="I16" s="16">
        <f t="shared" ca="1" si="5"/>
        <v>3.2</v>
      </c>
      <c r="J16" s="16">
        <f t="shared" ca="1" si="6"/>
        <v>35.200000000000003</v>
      </c>
      <c r="K16" s="15" t="str" cm="1">
        <f t="array" aca="1" ref="K16" ca="1">INDEX(Lists!$D$1:$D$4, RANDBETWEEN(1,4))</f>
        <v>Jose</v>
      </c>
      <c r="L16" s="16" t="str">
        <f t="shared" si="7"/>
        <v>2024-10</v>
      </c>
      <c r="M16" s="16">
        <f t="shared" si="8"/>
        <v>2024</v>
      </c>
      <c r="N16" s="17">
        <f t="shared" ca="1" si="9"/>
        <v>1.3636363636363635</v>
      </c>
      <c r="O16" s="16" t="str">
        <f t="shared" ca="1" si="0"/>
        <v>Short</v>
      </c>
    </row>
    <row r="17" spans="1:15">
      <c r="A17" s="14">
        <v>45581</v>
      </c>
      <c r="B17" s="15" t="str" cm="1">
        <f t="array" aca="1" ref="B17" ca="1">INDEX(Lists!$A$1:$A$6, RANDBETWEEN(1,6))</f>
        <v>Mini Excavator</v>
      </c>
      <c r="C17" s="15" t="str">
        <f ca="1">_xlfn.XLOOKUP(B17, Lists!$A$1:$A$6, Lists!$B$1:$B$6)</f>
        <v>ME6(10682709)</v>
      </c>
      <c r="D17" s="15" t="str" cm="1">
        <f t="array" aca="1" ref="D17" ca="1">INDEX(Lists!$C$1:$C$3, RANDBETWEEN(1,3))</f>
        <v>Yard</v>
      </c>
      <c r="E17" s="16">
        <f t="shared" ca="1" si="1"/>
        <v>4858</v>
      </c>
      <c r="F17" s="16">
        <f t="shared" ca="1" si="2"/>
        <v>4864</v>
      </c>
      <c r="G17" s="16">
        <f t="shared" ca="1" si="3"/>
        <v>6</v>
      </c>
      <c r="H17" s="16">
        <f t="shared" ca="1" si="4"/>
        <v>8</v>
      </c>
      <c r="I17" s="16">
        <f t="shared" ca="1" si="5"/>
        <v>3.62</v>
      </c>
      <c r="J17" s="16">
        <f t="shared" ca="1" si="6"/>
        <v>28.96</v>
      </c>
      <c r="K17" s="15" t="str" cm="1">
        <f t="array" aca="1" ref="K17" ca="1">INDEX(Lists!$D$1:$D$4, RANDBETWEEN(1,4))</f>
        <v>Ravi</v>
      </c>
      <c r="L17" s="16" t="str">
        <f t="shared" si="7"/>
        <v>2024-10</v>
      </c>
      <c r="M17" s="16">
        <f t="shared" si="8"/>
        <v>2024</v>
      </c>
      <c r="N17" s="17">
        <f t="shared" ca="1" si="9"/>
        <v>0.75</v>
      </c>
      <c r="O17" s="16" t="str">
        <f t="shared" ca="1" si="0"/>
        <v>Short</v>
      </c>
    </row>
    <row r="18" spans="1:15">
      <c r="A18" s="14">
        <v>45582</v>
      </c>
      <c r="B18" s="15" t="str" cm="1">
        <f t="array" aca="1" ref="B18" ca="1">INDEX(Lists!$A$1:$A$6, RANDBETWEEN(1,6))</f>
        <v>Welding Machine</v>
      </c>
      <c r="C18" s="15" t="str">
        <f ca="1">_xlfn.XLOOKUP(B18, Lists!$A$1:$A$6, Lists!$B$1:$B$6)</f>
        <v>WM12(WD5-000729)</v>
      </c>
      <c r="D18" s="15" t="str" cm="1">
        <f t="array" aca="1" ref="D18" ca="1">INDEX(Lists!$C$1:$C$3, RANDBETWEEN(1,3))</f>
        <v>Maintenance</v>
      </c>
      <c r="E18" s="16">
        <f t="shared" ca="1" si="1"/>
        <v>3047</v>
      </c>
      <c r="F18" s="16">
        <f t="shared" ca="1" si="2"/>
        <v>3073</v>
      </c>
      <c r="G18" s="16">
        <f t="shared" ca="1" si="3"/>
        <v>26</v>
      </c>
      <c r="H18" s="16">
        <f t="shared" ca="1" si="4"/>
        <v>5.5</v>
      </c>
      <c r="I18" s="16">
        <f t="shared" ca="1" si="5"/>
        <v>3.67</v>
      </c>
      <c r="J18" s="16">
        <f t="shared" ca="1" si="6"/>
        <v>20.184999999999999</v>
      </c>
      <c r="K18" s="15" t="str" cm="1">
        <f t="array" aca="1" ref="K18" ca="1">INDEX(Lists!$D$1:$D$4, RANDBETWEEN(1,4))</f>
        <v>Jose</v>
      </c>
      <c r="L18" s="16" t="str">
        <f t="shared" si="7"/>
        <v>2024-10</v>
      </c>
      <c r="M18" s="16">
        <f t="shared" si="8"/>
        <v>2024</v>
      </c>
      <c r="N18" s="17">
        <f t="shared" ca="1" si="9"/>
        <v>4.7272727272727275</v>
      </c>
      <c r="O18" s="16" t="str">
        <f t="shared" ca="1" si="0"/>
        <v>Medium</v>
      </c>
    </row>
    <row r="19" spans="1:15">
      <c r="A19" s="14">
        <v>45583</v>
      </c>
      <c r="B19" s="15" t="str" cm="1">
        <f t="array" aca="1" ref="B19" ca="1">INDEX(Lists!$A$1:$A$6, RANDBETWEEN(1,6))</f>
        <v>Mini Excavator</v>
      </c>
      <c r="C19" s="15" t="str">
        <f ca="1">_xlfn.XLOOKUP(B19, Lists!$A$1:$A$6, Lists!$B$1:$B$6)</f>
        <v>ME6(10682709)</v>
      </c>
      <c r="D19" s="15" t="str" cm="1">
        <f t="array" aca="1" ref="D19" ca="1">INDEX(Lists!$C$1:$C$3, RANDBETWEEN(1,3))</f>
        <v>Yard</v>
      </c>
      <c r="E19" s="16">
        <f t="shared" ca="1" si="1"/>
        <v>4871</v>
      </c>
      <c r="F19" s="16">
        <f t="shared" ca="1" si="2"/>
        <v>4929</v>
      </c>
      <c r="G19" s="16">
        <f t="shared" ca="1" si="3"/>
        <v>58</v>
      </c>
      <c r="H19" s="16">
        <f t="shared" ca="1" si="4"/>
        <v>8.5</v>
      </c>
      <c r="I19" s="16">
        <f t="shared" ca="1" si="5"/>
        <v>3.22</v>
      </c>
      <c r="J19" s="16">
        <f t="shared" ca="1" si="6"/>
        <v>27.37</v>
      </c>
      <c r="K19" s="15" t="str" cm="1">
        <f t="array" aca="1" ref="K19" ca="1">INDEX(Lists!$D$1:$D$4, RANDBETWEEN(1,4))</f>
        <v>Ravi</v>
      </c>
      <c r="L19" s="16" t="str">
        <f t="shared" si="7"/>
        <v>2024-10</v>
      </c>
      <c r="M19" s="16">
        <f t="shared" si="8"/>
        <v>2024</v>
      </c>
      <c r="N19" s="17">
        <f t="shared" ca="1" si="9"/>
        <v>6.8235294117647056</v>
      </c>
      <c r="O19" s="16" t="str">
        <f t="shared" ca="1" si="0"/>
        <v>Long</v>
      </c>
    </row>
    <row r="20" spans="1:15">
      <c r="A20" s="14">
        <v>45584</v>
      </c>
      <c r="B20" s="15" t="str" cm="1">
        <f t="array" aca="1" ref="B20" ca="1">INDEX(Lists!$A$1:$A$6, RANDBETWEEN(1,6))</f>
        <v>Mini Excavator</v>
      </c>
      <c r="C20" s="15" t="str">
        <f ca="1">_xlfn.XLOOKUP(B20, Lists!$A$1:$A$6, Lists!$B$1:$B$6)</f>
        <v>ME6(10682709)</v>
      </c>
      <c r="D20" s="15" t="str" cm="1">
        <f t="array" aca="1" ref="D20" ca="1">INDEX(Lists!$C$1:$C$3, RANDBETWEEN(1,3))</f>
        <v>Maintenance</v>
      </c>
      <c r="E20" s="16">
        <f t="shared" ca="1" si="1"/>
        <v>4356</v>
      </c>
      <c r="F20" s="16">
        <f t="shared" ca="1" si="2"/>
        <v>4399</v>
      </c>
      <c r="G20" s="16">
        <f t="shared" ca="1" si="3"/>
        <v>43</v>
      </c>
      <c r="H20" s="16">
        <f t="shared" ca="1" si="4"/>
        <v>9</v>
      </c>
      <c r="I20" s="16">
        <f t="shared" ca="1" si="5"/>
        <v>3.44</v>
      </c>
      <c r="J20" s="16">
        <f t="shared" ca="1" si="6"/>
        <v>30.96</v>
      </c>
      <c r="K20" s="15" t="str" cm="1">
        <f t="array" aca="1" ref="K20" ca="1">INDEX(Lists!$D$1:$D$4, RANDBETWEEN(1,4))</f>
        <v>Jose</v>
      </c>
      <c r="L20" s="16" t="str">
        <f t="shared" si="7"/>
        <v>2024-10</v>
      </c>
      <c r="M20" s="16">
        <f t="shared" si="8"/>
        <v>2024</v>
      </c>
      <c r="N20" s="17">
        <f t="shared" ca="1" si="9"/>
        <v>4.7777777777777777</v>
      </c>
      <c r="O20" s="16" t="str">
        <f t="shared" ca="1" si="0"/>
        <v>Medium</v>
      </c>
    </row>
    <row r="21" spans="1:15">
      <c r="A21" s="14">
        <v>45585</v>
      </c>
      <c r="B21" s="15" t="str" cm="1">
        <f t="array" aca="1" ref="B21" ca="1">INDEX(Lists!$A$1:$A$6, RANDBETWEEN(1,6))</f>
        <v>Forklift</v>
      </c>
      <c r="C21" s="15" t="str">
        <f ca="1">_xlfn.XLOOKUP(B21, Lists!$A$1:$A$6, Lists!$B$1:$B$6)</f>
        <v>F7(217595AH)</v>
      </c>
      <c r="D21" s="15" t="str" cm="1">
        <f t="array" aca="1" ref="D21" ca="1">INDEX(Lists!$C$1:$C$3, RANDBETWEEN(1,3))</f>
        <v>Maintenance</v>
      </c>
      <c r="E21" s="16">
        <f t="shared" ca="1" si="1"/>
        <v>2657</v>
      </c>
      <c r="F21" s="16">
        <f t="shared" ca="1" si="2"/>
        <v>2664</v>
      </c>
      <c r="G21" s="16">
        <f t="shared" ca="1" si="3"/>
        <v>7</v>
      </c>
      <c r="H21" s="16">
        <f t="shared" ca="1" si="4"/>
        <v>4</v>
      </c>
      <c r="I21" s="16">
        <f t="shared" ca="1" si="5"/>
        <v>3.73</v>
      </c>
      <c r="J21" s="16">
        <f t="shared" ca="1" si="6"/>
        <v>14.92</v>
      </c>
      <c r="K21" s="15" t="str" cm="1">
        <f t="array" aca="1" ref="K21" ca="1">INDEX(Lists!$D$1:$D$4, RANDBETWEEN(1,4))</f>
        <v>Maria</v>
      </c>
      <c r="L21" s="16" t="str">
        <f t="shared" si="7"/>
        <v>2024-10</v>
      </c>
      <c r="M21" s="16">
        <f t="shared" si="8"/>
        <v>2024</v>
      </c>
      <c r="N21" s="17">
        <f t="shared" ca="1" si="9"/>
        <v>1.75</v>
      </c>
      <c r="O21" s="16" t="str">
        <f t="shared" ca="1" si="0"/>
        <v>Short</v>
      </c>
    </row>
    <row r="22" spans="1:15">
      <c r="A22" s="14">
        <v>45586</v>
      </c>
      <c r="B22" s="15" t="str" cm="1">
        <f t="array" aca="1" ref="B22" ca="1">INDEX(Lists!$A$1:$A$6, RANDBETWEEN(1,6))</f>
        <v>Mini Excavator</v>
      </c>
      <c r="C22" s="15" t="str">
        <f ca="1">_xlfn.XLOOKUP(B22, Lists!$A$1:$A$6, Lists!$B$1:$B$6)</f>
        <v>ME6(10682709)</v>
      </c>
      <c r="D22" s="15" t="str" cm="1">
        <f t="array" aca="1" ref="D22" ca="1">INDEX(Lists!$C$1:$C$3, RANDBETWEEN(1,3))</f>
        <v>Maintenance</v>
      </c>
      <c r="E22" s="16">
        <f t="shared" ca="1" si="1"/>
        <v>4110</v>
      </c>
      <c r="F22" s="16">
        <f t="shared" ca="1" si="2"/>
        <v>4179</v>
      </c>
      <c r="G22" s="16">
        <f t="shared" ca="1" si="3"/>
        <v>69</v>
      </c>
      <c r="H22" s="16">
        <f t="shared" ca="1" si="4"/>
        <v>7</v>
      </c>
      <c r="I22" s="16">
        <f t="shared" ca="1" si="5"/>
        <v>3.6</v>
      </c>
      <c r="J22" s="16">
        <f t="shared" ca="1" si="6"/>
        <v>25.2</v>
      </c>
      <c r="K22" s="15" t="str" cm="1">
        <f t="array" aca="1" ref="K22" ca="1">INDEX(Lists!$D$1:$D$4, RANDBETWEEN(1,4))</f>
        <v>Jose</v>
      </c>
      <c r="L22" s="16" t="str">
        <f t="shared" si="7"/>
        <v>2024-10</v>
      </c>
      <c r="M22" s="16">
        <f t="shared" si="8"/>
        <v>2024</v>
      </c>
      <c r="N22" s="17">
        <f t="shared" ca="1" si="9"/>
        <v>9.8571428571428577</v>
      </c>
      <c r="O22" s="16" t="str">
        <f t="shared" ca="1" si="0"/>
        <v>Long</v>
      </c>
    </row>
    <row r="23" spans="1:15">
      <c r="A23" s="14">
        <v>45587</v>
      </c>
      <c r="B23" s="15" t="str" cm="1">
        <f t="array" aca="1" ref="B23" ca="1">INDEX(Lists!$A$1:$A$6, RANDBETWEEN(1,6))</f>
        <v>Bobcat</v>
      </c>
      <c r="C23" s="15" t="str">
        <f ca="1">_xlfn.XLOOKUP(B23, Lists!$A$1:$A$6, Lists!$B$1:$B$6)</f>
        <v>BC1(10931016)</v>
      </c>
      <c r="D23" s="15" t="str" cm="1">
        <f t="array" aca="1" ref="D23" ca="1">INDEX(Lists!$C$1:$C$3, RANDBETWEEN(1,3))</f>
        <v>Maintenance</v>
      </c>
      <c r="E23" s="16">
        <f t="shared" ca="1" si="1"/>
        <v>4965</v>
      </c>
      <c r="F23" s="16">
        <f t="shared" ca="1" si="2"/>
        <v>4972</v>
      </c>
      <c r="G23" s="16">
        <f t="shared" ca="1" si="3"/>
        <v>7</v>
      </c>
      <c r="H23" s="16">
        <f t="shared" ca="1" si="4"/>
        <v>9.5</v>
      </c>
      <c r="I23" s="16">
        <f t="shared" ca="1" si="5"/>
        <v>3.62</v>
      </c>
      <c r="J23" s="16">
        <f t="shared" ca="1" si="6"/>
        <v>34.39</v>
      </c>
      <c r="K23" s="15" t="str" cm="1">
        <f t="array" aca="1" ref="K23" ca="1">INDEX(Lists!$D$1:$D$4, RANDBETWEEN(1,4))</f>
        <v>Ahmed</v>
      </c>
      <c r="L23" s="16" t="str">
        <f t="shared" si="7"/>
        <v>2024-10</v>
      </c>
      <c r="M23" s="16">
        <f t="shared" si="8"/>
        <v>2024</v>
      </c>
      <c r="N23" s="17">
        <f t="shared" ca="1" si="9"/>
        <v>0.73684210526315785</v>
      </c>
      <c r="O23" s="16" t="str">
        <f t="shared" ca="1" si="0"/>
        <v>Short</v>
      </c>
    </row>
    <row r="24" spans="1:15">
      <c r="A24" s="14">
        <v>45588</v>
      </c>
      <c r="B24" s="15" t="str" cm="1">
        <f t="array" aca="1" ref="B24" ca="1">INDEX(Lists!$A$1:$A$6, RANDBETWEEN(1,6))</f>
        <v>Boom Lift</v>
      </c>
      <c r="C24" s="15" t="str">
        <f ca="1">_xlfn.XLOOKUP(B24, Lists!$A$1:$A$6, Lists!$B$1:$B$6)</f>
        <v>BL8(1047802)</v>
      </c>
      <c r="D24" s="15" t="str" cm="1">
        <f t="array" aca="1" ref="D24" ca="1">INDEX(Lists!$C$1:$C$3, RANDBETWEEN(1,3))</f>
        <v>Operations</v>
      </c>
      <c r="E24" s="16">
        <f t="shared" ca="1" si="1"/>
        <v>1166</v>
      </c>
      <c r="F24" s="16">
        <f t="shared" ca="1" si="2"/>
        <v>1232</v>
      </c>
      <c r="G24" s="16">
        <f t="shared" ca="1" si="3"/>
        <v>66</v>
      </c>
      <c r="H24" s="16">
        <f t="shared" ca="1" si="4"/>
        <v>3.5</v>
      </c>
      <c r="I24" s="16">
        <f t="shared" ca="1" si="5"/>
        <v>3.46</v>
      </c>
      <c r="J24" s="16">
        <f t="shared" ca="1" si="6"/>
        <v>12.11</v>
      </c>
      <c r="K24" s="15" t="str" cm="1">
        <f t="array" aca="1" ref="K24" ca="1">INDEX(Lists!$D$1:$D$4, RANDBETWEEN(1,4))</f>
        <v>Ahmed</v>
      </c>
      <c r="L24" s="16" t="str">
        <f t="shared" si="7"/>
        <v>2024-10</v>
      </c>
      <c r="M24" s="16">
        <f t="shared" si="8"/>
        <v>2024</v>
      </c>
      <c r="N24" s="17">
        <f t="shared" ca="1" si="9"/>
        <v>18.857142857142858</v>
      </c>
      <c r="O24" s="16" t="str">
        <f t="shared" ca="1" si="0"/>
        <v>Long</v>
      </c>
    </row>
    <row r="25" spans="1:15">
      <c r="A25" s="14">
        <v>45589</v>
      </c>
      <c r="B25" s="15" t="str" cm="1">
        <f t="array" aca="1" ref="B25" ca="1">INDEX(Lists!$A$1:$A$6, RANDBETWEEN(1,6))</f>
        <v>Boom Lift</v>
      </c>
      <c r="C25" s="15" t="str">
        <f ca="1">_xlfn.XLOOKUP(B25, Lists!$A$1:$A$6, Lists!$B$1:$B$6)</f>
        <v>BL8(1047802)</v>
      </c>
      <c r="D25" s="15" t="str" cm="1">
        <f t="array" aca="1" ref="D25" ca="1">INDEX(Lists!$C$1:$C$3, RANDBETWEEN(1,3))</f>
        <v>Yard</v>
      </c>
      <c r="E25" s="16">
        <f t="shared" ca="1" si="1"/>
        <v>1222</v>
      </c>
      <c r="F25" s="16">
        <f t="shared" ca="1" si="2"/>
        <v>1277</v>
      </c>
      <c r="G25" s="16">
        <f t="shared" ca="1" si="3"/>
        <v>55</v>
      </c>
      <c r="H25" s="16">
        <f t="shared" ca="1" si="4"/>
        <v>12</v>
      </c>
      <c r="I25" s="16">
        <f t="shared" ca="1" si="5"/>
        <v>3.23</v>
      </c>
      <c r="J25" s="16">
        <f t="shared" ca="1" si="6"/>
        <v>38.76</v>
      </c>
      <c r="K25" s="15" t="str" cm="1">
        <f t="array" aca="1" ref="K25" ca="1">INDEX(Lists!$D$1:$D$4, RANDBETWEEN(1,4))</f>
        <v>Ravi</v>
      </c>
      <c r="L25" s="16" t="str">
        <f t="shared" si="7"/>
        <v>2024-10</v>
      </c>
      <c r="M25" s="16">
        <f t="shared" si="8"/>
        <v>2024</v>
      </c>
      <c r="N25" s="17">
        <f t="shared" ca="1" si="9"/>
        <v>4.583333333333333</v>
      </c>
      <c r="O25" s="16" t="str">
        <f t="shared" ca="1" si="0"/>
        <v>Long</v>
      </c>
    </row>
    <row r="26" spans="1:15">
      <c r="A26" s="14">
        <v>45590</v>
      </c>
      <c r="B26" s="15" t="str" cm="1">
        <f t="array" aca="1" ref="B26" ca="1">INDEX(Lists!$A$1:$A$6, RANDBETWEEN(1,6))</f>
        <v>Welding Machine</v>
      </c>
      <c r="C26" s="15" t="str">
        <f ca="1">_xlfn.XLOOKUP(B26, Lists!$A$1:$A$6, Lists!$B$1:$B$6)</f>
        <v>WM12(WD5-000729)</v>
      </c>
      <c r="D26" s="15" t="str" cm="1">
        <f t="array" aca="1" ref="D26" ca="1">INDEX(Lists!$C$1:$C$3, RANDBETWEEN(1,3))</f>
        <v>Operations</v>
      </c>
      <c r="E26" s="16">
        <f t="shared" ca="1" si="1"/>
        <v>4667</v>
      </c>
      <c r="F26" s="16">
        <f t="shared" ca="1" si="2"/>
        <v>4689</v>
      </c>
      <c r="G26" s="16">
        <f t="shared" ca="1" si="3"/>
        <v>22</v>
      </c>
      <c r="H26" s="16">
        <f t="shared" ca="1" si="4"/>
        <v>8</v>
      </c>
      <c r="I26" s="16">
        <f t="shared" ca="1" si="5"/>
        <v>3.52</v>
      </c>
      <c r="J26" s="16">
        <f t="shared" ca="1" si="6"/>
        <v>28.16</v>
      </c>
      <c r="K26" s="15" t="str" cm="1">
        <f t="array" aca="1" ref="K26" ca="1">INDEX(Lists!$D$1:$D$4, RANDBETWEEN(1,4))</f>
        <v>Maria</v>
      </c>
      <c r="L26" s="16" t="str">
        <f t="shared" si="7"/>
        <v>2024-10</v>
      </c>
      <c r="M26" s="16">
        <f t="shared" si="8"/>
        <v>2024</v>
      </c>
      <c r="N26" s="17">
        <f t="shared" ca="1" si="9"/>
        <v>2.75</v>
      </c>
      <c r="O26" s="16" t="str">
        <f t="shared" ca="1" si="0"/>
        <v>Medium</v>
      </c>
    </row>
    <row r="27" spans="1:15">
      <c r="A27" s="14">
        <v>45591</v>
      </c>
      <c r="B27" s="15" t="str" cm="1">
        <f t="array" aca="1" ref="B27" ca="1">INDEX(Lists!$A$1:$A$6, RANDBETWEEN(1,6))</f>
        <v>Boom Lift</v>
      </c>
      <c r="C27" s="15" t="str">
        <f ca="1">_xlfn.XLOOKUP(B27, Lists!$A$1:$A$6, Lists!$B$1:$B$6)</f>
        <v>BL8(1047802)</v>
      </c>
      <c r="D27" s="15" t="str" cm="1">
        <f t="array" aca="1" ref="D27" ca="1">INDEX(Lists!$C$1:$C$3, RANDBETWEEN(1,3))</f>
        <v>Maintenance</v>
      </c>
      <c r="E27" s="16">
        <f t="shared" ca="1" si="1"/>
        <v>1793</v>
      </c>
      <c r="F27" s="16">
        <f t="shared" ca="1" si="2"/>
        <v>1864</v>
      </c>
      <c r="G27" s="16">
        <f t="shared" ca="1" si="3"/>
        <v>71</v>
      </c>
      <c r="H27" s="16">
        <f t="shared" ca="1" si="4"/>
        <v>10.5</v>
      </c>
      <c r="I27" s="16">
        <f t="shared" ca="1" si="5"/>
        <v>3.41</v>
      </c>
      <c r="J27" s="16">
        <f t="shared" ca="1" si="6"/>
        <v>35.805</v>
      </c>
      <c r="K27" s="15" t="str" cm="1">
        <f t="array" aca="1" ref="K27" ca="1">INDEX(Lists!$D$1:$D$4, RANDBETWEEN(1,4))</f>
        <v>Ahmed</v>
      </c>
      <c r="L27" s="16" t="str">
        <f t="shared" si="7"/>
        <v>2024-10</v>
      </c>
      <c r="M27" s="16">
        <f t="shared" si="8"/>
        <v>2024</v>
      </c>
      <c r="N27" s="17">
        <f t="shared" ca="1" si="9"/>
        <v>6.7619047619047619</v>
      </c>
      <c r="O27" s="16" t="str">
        <f t="shared" ca="1" si="0"/>
        <v>Long</v>
      </c>
    </row>
    <row r="28" spans="1:15">
      <c r="A28" s="14">
        <v>45592</v>
      </c>
      <c r="B28" s="15" t="str" cm="1">
        <f t="array" aca="1" ref="B28" ca="1">INDEX(Lists!$A$1:$A$6, RANDBETWEEN(1,6))</f>
        <v>Boom Lift</v>
      </c>
      <c r="C28" s="15" t="str">
        <f ca="1">_xlfn.XLOOKUP(B28, Lists!$A$1:$A$6, Lists!$B$1:$B$6)</f>
        <v>BL8(1047802)</v>
      </c>
      <c r="D28" s="15" t="str" cm="1">
        <f t="array" aca="1" ref="D28" ca="1">INDEX(Lists!$C$1:$C$3, RANDBETWEEN(1,3))</f>
        <v>Operations</v>
      </c>
      <c r="E28" s="16">
        <f t="shared" ca="1" si="1"/>
        <v>645</v>
      </c>
      <c r="F28" s="16">
        <f t="shared" ca="1" si="2"/>
        <v>655</v>
      </c>
      <c r="G28" s="16">
        <f t="shared" ca="1" si="3"/>
        <v>10</v>
      </c>
      <c r="H28" s="16">
        <f t="shared" ca="1" si="4"/>
        <v>12.5</v>
      </c>
      <c r="I28" s="16">
        <f t="shared" ca="1" si="5"/>
        <v>3.72</v>
      </c>
      <c r="J28" s="16">
        <f t="shared" ca="1" si="6"/>
        <v>46.5</v>
      </c>
      <c r="K28" s="15" t="str" cm="1">
        <f t="array" aca="1" ref="K28" ca="1">INDEX(Lists!$D$1:$D$4, RANDBETWEEN(1,4))</f>
        <v>Maria</v>
      </c>
      <c r="L28" s="16" t="str">
        <f t="shared" si="7"/>
        <v>2024-10</v>
      </c>
      <c r="M28" s="16">
        <f t="shared" si="8"/>
        <v>2024</v>
      </c>
      <c r="N28" s="17">
        <f t="shared" ca="1" si="9"/>
        <v>0.8</v>
      </c>
      <c r="O28" s="16" t="str">
        <f t="shared" ca="1" si="0"/>
        <v>Short</v>
      </c>
    </row>
    <row r="29" spans="1:15">
      <c r="A29" s="14">
        <v>45593</v>
      </c>
      <c r="B29" s="15" t="str" cm="1">
        <f t="array" aca="1" ref="B29" ca="1">INDEX(Lists!$A$1:$A$6, RANDBETWEEN(1,6))</f>
        <v>Front End Loader</v>
      </c>
      <c r="C29" s="15" t="str">
        <f ca="1">_xlfn.XLOOKUP(B29, Lists!$A$1:$A$6, Lists!$B$1:$B$6)</f>
        <v>FE1(10930360)</v>
      </c>
      <c r="D29" s="15" t="str" cm="1">
        <f t="array" aca="1" ref="D29" ca="1">INDEX(Lists!$C$1:$C$3, RANDBETWEEN(1,3))</f>
        <v>Operations</v>
      </c>
      <c r="E29" s="16">
        <f t="shared" ca="1" si="1"/>
        <v>1019</v>
      </c>
      <c r="F29" s="16">
        <f t="shared" ca="1" si="2"/>
        <v>1040</v>
      </c>
      <c r="G29" s="16">
        <f t="shared" ca="1" si="3"/>
        <v>21</v>
      </c>
      <c r="H29" s="16">
        <f t="shared" ca="1" si="4"/>
        <v>9.5</v>
      </c>
      <c r="I29" s="16">
        <f t="shared" ca="1" si="5"/>
        <v>3.8</v>
      </c>
      <c r="J29" s="16">
        <f t="shared" ca="1" si="6"/>
        <v>36.1</v>
      </c>
      <c r="K29" s="15" t="str" cm="1">
        <f t="array" aca="1" ref="K29" ca="1">INDEX(Lists!$D$1:$D$4, RANDBETWEEN(1,4))</f>
        <v>Jose</v>
      </c>
      <c r="L29" s="16" t="str">
        <f t="shared" si="7"/>
        <v>2024-10</v>
      </c>
      <c r="M29" s="16">
        <f t="shared" si="8"/>
        <v>2024</v>
      </c>
      <c r="N29" s="17">
        <f t="shared" ca="1" si="9"/>
        <v>2.2105263157894739</v>
      </c>
      <c r="O29" s="16" t="str">
        <f t="shared" ca="1" si="0"/>
        <v>Medium</v>
      </c>
    </row>
    <row r="30" spans="1:15">
      <c r="A30" s="14">
        <v>45594</v>
      </c>
      <c r="B30" s="15" t="str" cm="1">
        <f t="array" aca="1" ref="B30" ca="1">INDEX(Lists!$A$1:$A$6, RANDBETWEEN(1,6))</f>
        <v>Boom Lift</v>
      </c>
      <c r="C30" s="15" t="str">
        <f ca="1">_xlfn.XLOOKUP(B30, Lists!$A$1:$A$6, Lists!$B$1:$B$6)</f>
        <v>BL8(1047802)</v>
      </c>
      <c r="D30" s="15" t="str" cm="1">
        <f t="array" aca="1" ref="D30" ca="1">INDEX(Lists!$C$1:$C$3, RANDBETWEEN(1,3))</f>
        <v>Operations</v>
      </c>
      <c r="E30" s="16">
        <f t="shared" ca="1" si="1"/>
        <v>2053</v>
      </c>
      <c r="F30" s="16">
        <f t="shared" ca="1" si="2"/>
        <v>2107</v>
      </c>
      <c r="G30" s="16">
        <f t="shared" ca="1" si="3"/>
        <v>54</v>
      </c>
      <c r="H30" s="16">
        <f t="shared" ca="1" si="4"/>
        <v>7</v>
      </c>
      <c r="I30" s="16">
        <f t="shared" ca="1" si="5"/>
        <v>3.79</v>
      </c>
      <c r="J30" s="16">
        <f t="shared" ca="1" si="6"/>
        <v>26.53</v>
      </c>
      <c r="K30" s="15" t="str" cm="1">
        <f t="array" aca="1" ref="K30" ca="1">INDEX(Lists!$D$1:$D$4, RANDBETWEEN(1,4))</f>
        <v>Ravi</v>
      </c>
      <c r="L30" s="16" t="str">
        <f t="shared" si="7"/>
        <v>2024-10</v>
      </c>
      <c r="M30" s="16">
        <f t="shared" si="8"/>
        <v>2024</v>
      </c>
      <c r="N30" s="17">
        <f t="shared" ca="1" si="9"/>
        <v>7.7142857142857144</v>
      </c>
      <c r="O30" s="16" t="str">
        <f t="shared" ca="1" si="0"/>
        <v>Long</v>
      </c>
    </row>
    <row r="31" spans="1:15">
      <c r="A31" s="14">
        <v>45595</v>
      </c>
      <c r="B31" s="15" t="str" cm="1">
        <f t="array" aca="1" ref="B31" ca="1">INDEX(Lists!$A$1:$A$6, RANDBETWEEN(1,6))</f>
        <v>Forklift</v>
      </c>
      <c r="C31" s="15" t="str">
        <f ca="1">_xlfn.XLOOKUP(B31, Lists!$A$1:$A$6, Lists!$B$1:$B$6)</f>
        <v>F7(217595AH)</v>
      </c>
      <c r="D31" s="15" t="str" cm="1">
        <f t="array" aca="1" ref="D31" ca="1">INDEX(Lists!$C$1:$C$3, RANDBETWEEN(1,3))</f>
        <v>Operations</v>
      </c>
      <c r="E31" s="16">
        <f t="shared" ca="1" si="1"/>
        <v>4367</v>
      </c>
      <c r="F31" s="16">
        <f t="shared" ca="1" si="2"/>
        <v>4445</v>
      </c>
      <c r="G31" s="16">
        <f t="shared" ca="1" si="3"/>
        <v>78</v>
      </c>
      <c r="H31" s="16">
        <f t="shared" ca="1" si="4"/>
        <v>8.5</v>
      </c>
      <c r="I31" s="16">
        <f t="shared" ca="1" si="5"/>
        <v>3.4</v>
      </c>
      <c r="J31" s="16">
        <f t="shared" ca="1" si="6"/>
        <v>28.9</v>
      </c>
      <c r="K31" s="15" t="str" cm="1">
        <f t="array" aca="1" ref="K31" ca="1">INDEX(Lists!$D$1:$D$4, RANDBETWEEN(1,4))</f>
        <v>Ravi</v>
      </c>
      <c r="L31" s="16" t="str">
        <f t="shared" si="7"/>
        <v>2024-10</v>
      </c>
      <c r="M31" s="16">
        <f t="shared" si="8"/>
        <v>2024</v>
      </c>
      <c r="N31" s="17">
        <f t="shared" ca="1" si="9"/>
        <v>9.1764705882352935</v>
      </c>
      <c r="O31" s="16" t="str">
        <f t="shared" ca="1" si="0"/>
        <v>Long</v>
      </c>
    </row>
    <row r="32" spans="1:15">
      <c r="A32" s="14">
        <v>45596</v>
      </c>
      <c r="B32" s="15" t="str" cm="1">
        <f t="array" aca="1" ref="B32" ca="1">INDEX(Lists!$A$1:$A$6, RANDBETWEEN(1,6))</f>
        <v>Mini Excavator</v>
      </c>
      <c r="C32" s="15" t="str">
        <f ca="1">_xlfn.XLOOKUP(B32, Lists!$A$1:$A$6, Lists!$B$1:$B$6)</f>
        <v>ME6(10682709)</v>
      </c>
      <c r="D32" s="15" t="str" cm="1">
        <f t="array" aca="1" ref="D32" ca="1">INDEX(Lists!$C$1:$C$3, RANDBETWEEN(1,3))</f>
        <v>Operations</v>
      </c>
      <c r="E32" s="16">
        <f t="shared" ca="1" si="1"/>
        <v>2723</v>
      </c>
      <c r="F32" s="16">
        <f t="shared" ca="1" si="2"/>
        <v>2733</v>
      </c>
      <c r="G32" s="16">
        <f t="shared" ca="1" si="3"/>
        <v>10</v>
      </c>
      <c r="H32" s="16">
        <f t="shared" ca="1" si="4"/>
        <v>9</v>
      </c>
      <c r="I32" s="16">
        <f t="shared" ca="1" si="5"/>
        <v>3.77</v>
      </c>
      <c r="J32" s="16">
        <f t="shared" ca="1" si="6"/>
        <v>33.93</v>
      </c>
      <c r="K32" s="15" t="str" cm="1">
        <f t="array" aca="1" ref="K32" ca="1">INDEX(Lists!$D$1:$D$4, RANDBETWEEN(1,4))</f>
        <v>Ravi</v>
      </c>
      <c r="L32" s="16" t="str">
        <f t="shared" si="7"/>
        <v>2024-10</v>
      </c>
      <c r="M32" s="16">
        <f t="shared" si="8"/>
        <v>2024</v>
      </c>
      <c r="N32" s="17">
        <f t="shared" ca="1" si="9"/>
        <v>1.1111111111111112</v>
      </c>
      <c r="O32" s="16" t="str">
        <f t="shared" ca="1" si="0"/>
        <v>Short</v>
      </c>
    </row>
    <row r="33" spans="1:15">
      <c r="A33" s="14">
        <v>45597</v>
      </c>
      <c r="B33" s="15" t="str" cm="1">
        <f t="array" aca="1" ref="B33" ca="1">INDEX(Lists!$A$1:$A$6, RANDBETWEEN(1,6))</f>
        <v>Forklift</v>
      </c>
      <c r="C33" s="15" t="str">
        <f ca="1">_xlfn.XLOOKUP(B33, Lists!$A$1:$A$6, Lists!$B$1:$B$6)</f>
        <v>F7(217595AH)</v>
      </c>
      <c r="D33" s="15" t="str" cm="1">
        <f t="array" aca="1" ref="D33" ca="1">INDEX(Lists!$C$1:$C$3, RANDBETWEEN(1,3))</f>
        <v>Operations</v>
      </c>
      <c r="E33" s="16">
        <f t="shared" ca="1" si="1"/>
        <v>2357</v>
      </c>
      <c r="F33" s="16">
        <f t="shared" ca="1" si="2"/>
        <v>2435</v>
      </c>
      <c r="G33" s="16">
        <f t="shared" ca="1" si="3"/>
        <v>78</v>
      </c>
      <c r="H33" s="16">
        <f t="shared" ca="1" si="4"/>
        <v>12</v>
      </c>
      <c r="I33" s="16">
        <f t="shared" ca="1" si="5"/>
        <v>3.28</v>
      </c>
      <c r="J33" s="16">
        <f t="shared" ca="1" si="6"/>
        <v>39.36</v>
      </c>
      <c r="K33" s="15" t="str" cm="1">
        <f t="array" aca="1" ref="K33" ca="1">INDEX(Lists!$D$1:$D$4, RANDBETWEEN(1,4))</f>
        <v>Jose</v>
      </c>
      <c r="L33" s="16" t="str">
        <f t="shared" si="7"/>
        <v>2024-11</v>
      </c>
      <c r="M33" s="16">
        <f t="shared" si="8"/>
        <v>2024</v>
      </c>
      <c r="N33" s="17">
        <f t="shared" ca="1" si="9"/>
        <v>6.5</v>
      </c>
      <c r="O33" s="16" t="str">
        <f t="shared" ca="1" si="0"/>
        <v>Long</v>
      </c>
    </row>
    <row r="34" spans="1:15">
      <c r="A34" s="14">
        <v>45598</v>
      </c>
      <c r="B34" s="15" t="str" cm="1">
        <f t="array" aca="1" ref="B34" ca="1">INDEX(Lists!$A$1:$A$6, RANDBETWEEN(1,6))</f>
        <v>Boom Lift</v>
      </c>
      <c r="C34" s="15" t="str">
        <f ca="1">_xlfn.XLOOKUP(B34, Lists!$A$1:$A$6, Lists!$B$1:$B$6)</f>
        <v>BL8(1047802)</v>
      </c>
      <c r="D34" s="15" t="str" cm="1">
        <f t="array" aca="1" ref="D34" ca="1">INDEX(Lists!$C$1:$C$3, RANDBETWEEN(1,3))</f>
        <v>Operations</v>
      </c>
      <c r="E34" s="16">
        <f t="shared" ca="1" si="1"/>
        <v>4210</v>
      </c>
      <c r="F34" s="16">
        <f t="shared" ca="1" si="2"/>
        <v>4221</v>
      </c>
      <c r="G34" s="16">
        <f t="shared" ref="G34:G97" ca="1" si="10">F34 - E34</f>
        <v>11</v>
      </c>
      <c r="H34" s="16">
        <f t="shared" ca="1" si="4"/>
        <v>4.5</v>
      </c>
      <c r="I34" s="16">
        <f t="shared" ca="1" si="5"/>
        <v>3.51</v>
      </c>
      <c r="J34" s="16">
        <f t="shared" ref="J34:J97" ca="1" si="11">H34 * I34</f>
        <v>15.794999999999998</v>
      </c>
      <c r="K34" s="15" t="str" cm="1">
        <f t="array" aca="1" ref="K34" ca="1">INDEX(Lists!$D$1:$D$4, RANDBETWEEN(1,4))</f>
        <v>Jose</v>
      </c>
      <c r="L34" s="16" t="str">
        <f t="shared" ref="L34:L97" si="12">TEXT(A34,"yyyy-mm")</f>
        <v>2024-11</v>
      </c>
      <c r="M34" s="16">
        <f t="shared" ref="M34:M97" si="13">YEAR(A34)</f>
        <v>2024</v>
      </c>
      <c r="N34" s="17">
        <f t="shared" ref="N34:N97" ca="1" si="14">IF(H34=0,"", G34/H34)</f>
        <v>2.4444444444444446</v>
      </c>
      <c r="O34" s="16" t="str">
        <f t="shared" ref="O34:O65" ca="1" si="15">IF(G34&lt;20,"Short", IF(G34&lt;=50,"Medium","Long"))</f>
        <v>Short</v>
      </c>
    </row>
    <row r="35" spans="1:15">
      <c r="A35" s="14">
        <v>45599</v>
      </c>
      <c r="B35" s="15" t="str" cm="1">
        <f t="array" aca="1" ref="B35" ca="1">INDEX(Lists!$A$1:$A$6, RANDBETWEEN(1,6))</f>
        <v>Mini Excavator</v>
      </c>
      <c r="C35" s="15" t="str">
        <f ca="1">_xlfn.XLOOKUP(B35, Lists!$A$1:$A$6, Lists!$B$1:$B$6)</f>
        <v>ME6(10682709)</v>
      </c>
      <c r="D35" s="15" t="str" cm="1">
        <f t="array" aca="1" ref="D35" ca="1">INDEX(Lists!$C$1:$C$3, RANDBETWEEN(1,3))</f>
        <v>Maintenance</v>
      </c>
      <c r="E35" s="16">
        <f t="shared" ca="1" si="1"/>
        <v>3298</v>
      </c>
      <c r="F35" s="16">
        <f t="shared" ca="1" si="2"/>
        <v>3319</v>
      </c>
      <c r="G35" s="16">
        <f t="shared" ca="1" si="10"/>
        <v>21</v>
      </c>
      <c r="H35" s="16">
        <f t="shared" ca="1" si="4"/>
        <v>7</v>
      </c>
      <c r="I35" s="16">
        <f t="shared" ca="1" si="5"/>
        <v>3.54</v>
      </c>
      <c r="J35" s="16">
        <f t="shared" ca="1" si="11"/>
        <v>24.78</v>
      </c>
      <c r="K35" s="15" t="str" cm="1">
        <f t="array" aca="1" ref="K35" ca="1">INDEX(Lists!$D$1:$D$4, RANDBETWEEN(1,4))</f>
        <v>Jose</v>
      </c>
      <c r="L35" s="16" t="str">
        <f t="shared" si="12"/>
        <v>2024-11</v>
      </c>
      <c r="M35" s="16">
        <f t="shared" si="13"/>
        <v>2024</v>
      </c>
      <c r="N35" s="17">
        <f t="shared" ca="1" si="14"/>
        <v>3</v>
      </c>
      <c r="O35" s="16" t="str">
        <f t="shared" ca="1" si="15"/>
        <v>Medium</v>
      </c>
    </row>
    <row r="36" spans="1:15">
      <c r="A36" s="14">
        <v>45600</v>
      </c>
      <c r="B36" s="15" t="str" cm="1">
        <f t="array" aca="1" ref="B36" ca="1">INDEX(Lists!$A$1:$A$6, RANDBETWEEN(1,6))</f>
        <v>Boom Lift</v>
      </c>
      <c r="C36" s="15" t="str">
        <f ca="1">_xlfn.XLOOKUP(B36, Lists!$A$1:$A$6, Lists!$B$1:$B$6)</f>
        <v>BL8(1047802)</v>
      </c>
      <c r="D36" s="15" t="str" cm="1">
        <f t="array" aca="1" ref="D36" ca="1">INDEX(Lists!$C$1:$C$3, RANDBETWEEN(1,3))</f>
        <v>Operations</v>
      </c>
      <c r="E36" s="16">
        <f t="shared" ca="1" si="1"/>
        <v>2285</v>
      </c>
      <c r="F36" s="16">
        <f t="shared" ca="1" si="2"/>
        <v>2317</v>
      </c>
      <c r="G36" s="16">
        <f t="shared" ca="1" si="10"/>
        <v>32</v>
      </c>
      <c r="H36" s="16">
        <f t="shared" ca="1" si="4"/>
        <v>10</v>
      </c>
      <c r="I36" s="16">
        <f t="shared" ca="1" si="5"/>
        <v>3.8</v>
      </c>
      <c r="J36" s="16">
        <f t="shared" ca="1" si="11"/>
        <v>38</v>
      </c>
      <c r="K36" s="15" t="str" cm="1">
        <f t="array" aca="1" ref="K36" ca="1">INDEX(Lists!$D$1:$D$4, RANDBETWEEN(1,4))</f>
        <v>Ahmed</v>
      </c>
      <c r="L36" s="16" t="str">
        <f t="shared" si="12"/>
        <v>2024-11</v>
      </c>
      <c r="M36" s="16">
        <f t="shared" si="13"/>
        <v>2024</v>
      </c>
      <c r="N36" s="17">
        <f t="shared" ca="1" si="14"/>
        <v>3.2</v>
      </c>
      <c r="O36" s="16" t="str">
        <f t="shared" ca="1" si="15"/>
        <v>Medium</v>
      </c>
    </row>
    <row r="37" spans="1:15">
      <c r="A37" s="14">
        <v>45601</v>
      </c>
      <c r="B37" s="15" t="str" cm="1">
        <f t="array" aca="1" ref="B37" ca="1">INDEX(Lists!$A$1:$A$6, RANDBETWEEN(1,6))</f>
        <v>Front End Loader</v>
      </c>
      <c r="C37" s="15" t="str">
        <f ca="1">_xlfn.XLOOKUP(B37, Lists!$A$1:$A$6, Lists!$B$1:$B$6)</f>
        <v>FE1(10930360)</v>
      </c>
      <c r="D37" s="15" t="str" cm="1">
        <f t="array" aca="1" ref="D37" ca="1">INDEX(Lists!$C$1:$C$3, RANDBETWEEN(1,3))</f>
        <v>Maintenance</v>
      </c>
      <c r="E37" s="16">
        <f t="shared" ca="1" si="1"/>
        <v>4910</v>
      </c>
      <c r="F37" s="16">
        <f t="shared" ca="1" si="2"/>
        <v>4944</v>
      </c>
      <c r="G37" s="16">
        <f t="shared" ca="1" si="10"/>
        <v>34</v>
      </c>
      <c r="H37" s="16">
        <f t="shared" ca="1" si="4"/>
        <v>2.5</v>
      </c>
      <c r="I37" s="16">
        <f t="shared" ca="1" si="5"/>
        <v>3.36</v>
      </c>
      <c r="J37" s="16">
        <f t="shared" ca="1" si="11"/>
        <v>8.4</v>
      </c>
      <c r="K37" s="15" t="str" cm="1">
        <f t="array" aca="1" ref="K37" ca="1">INDEX(Lists!$D$1:$D$4, RANDBETWEEN(1,4))</f>
        <v>Jose</v>
      </c>
      <c r="L37" s="16" t="str">
        <f t="shared" si="12"/>
        <v>2024-11</v>
      </c>
      <c r="M37" s="16">
        <f t="shared" si="13"/>
        <v>2024</v>
      </c>
      <c r="N37" s="17">
        <f t="shared" ca="1" si="14"/>
        <v>13.6</v>
      </c>
      <c r="O37" s="16" t="str">
        <f t="shared" ca="1" si="15"/>
        <v>Medium</v>
      </c>
    </row>
    <row r="38" spans="1:15">
      <c r="A38" s="14">
        <v>45602</v>
      </c>
      <c r="B38" s="15" t="str" cm="1">
        <f t="array" aca="1" ref="B38" ca="1">INDEX(Lists!$A$1:$A$6, RANDBETWEEN(1,6))</f>
        <v>Forklift</v>
      </c>
      <c r="C38" s="15" t="str">
        <f ca="1">_xlfn.XLOOKUP(B38, Lists!$A$1:$A$6, Lists!$B$1:$B$6)</f>
        <v>F7(217595AH)</v>
      </c>
      <c r="D38" s="15" t="str" cm="1">
        <f t="array" aca="1" ref="D38" ca="1">INDEX(Lists!$C$1:$C$3, RANDBETWEEN(1,3))</f>
        <v>Operations</v>
      </c>
      <c r="E38" s="16">
        <f t="shared" ca="1" si="1"/>
        <v>813</v>
      </c>
      <c r="F38" s="16">
        <f t="shared" ca="1" si="2"/>
        <v>877</v>
      </c>
      <c r="G38" s="16">
        <f t="shared" ca="1" si="10"/>
        <v>64</v>
      </c>
      <c r="H38" s="16">
        <f t="shared" ca="1" si="4"/>
        <v>8</v>
      </c>
      <c r="I38" s="16">
        <f t="shared" ca="1" si="5"/>
        <v>3.45</v>
      </c>
      <c r="J38" s="16">
        <f t="shared" ca="1" si="11"/>
        <v>27.6</v>
      </c>
      <c r="K38" s="15" t="str" cm="1">
        <f t="array" aca="1" ref="K38" ca="1">INDEX(Lists!$D$1:$D$4, RANDBETWEEN(1,4))</f>
        <v>Jose</v>
      </c>
      <c r="L38" s="16" t="str">
        <f t="shared" si="12"/>
        <v>2024-11</v>
      </c>
      <c r="M38" s="16">
        <f t="shared" si="13"/>
        <v>2024</v>
      </c>
      <c r="N38" s="17">
        <f t="shared" ca="1" si="14"/>
        <v>8</v>
      </c>
      <c r="O38" s="16" t="str">
        <f t="shared" ca="1" si="15"/>
        <v>Long</v>
      </c>
    </row>
    <row r="39" spans="1:15">
      <c r="A39" s="14">
        <v>45603</v>
      </c>
      <c r="B39" s="15" t="str" cm="1">
        <f t="array" aca="1" ref="B39" ca="1">INDEX(Lists!$A$1:$A$6, RANDBETWEEN(1,6))</f>
        <v>Boom Lift</v>
      </c>
      <c r="C39" s="15" t="str">
        <f ca="1">_xlfn.XLOOKUP(B39, Lists!$A$1:$A$6, Lists!$B$1:$B$6)</f>
        <v>BL8(1047802)</v>
      </c>
      <c r="D39" s="15" t="str" cm="1">
        <f t="array" aca="1" ref="D39" ca="1">INDEX(Lists!$C$1:$C$3, RANDBETWEEN(1,3))</f>
        <v>Maintenance</v>
      </c>
      <c r="E39" s="16">
        <f t="shared" ca="1" si="1"/>
        <v>2464</v>
      </c>
      <c r="F39" s="16">
        <f t="shared" ca="1" si="2"/>
        <v>2491</v>
      </c>
      <c r="G39" s="16">
        <f t="shared" ca="1" si="10"/>
        <v>27</v>
      </c>
      <c r="H39" s="16">
        <f t="shared" ca="1" si="4"/>
        <v>11</v>
      </c>
      <c r="I39" s="16">
        <f t="shared" ca="1" si="5"/>
        <v>3.5</v>
      </c>
      <c r="J39" s="16">
        <f t="shared" ca="1" si="11"/>
        <v>38.5</v>
      </c>
      <c r="K39" s="15" t="str" cm="1">
        <f t="array" aca="1" ref="K39" ca="1">INDEX(Lists!$D$1:$D$4, RANDBETWEEN(1,4))</f>
        <v>Ravi</v>
      </c>
      <c r="L39" s="16" t="str">
        <f t="shared" si="12"/>
        <v>2024-11</v>
      </c>
      <c r="M39" s="16">
        <f t="shared" si="13"/>
        <v>2024</v>
      </c>
      <c r="N39" s="17">
        <f t="shared" ca="1" si="14"/>
        <v>2.4545454545454546</v>
      </c>
      <c r="O39" s="16" t="str">
        <f t="shared" ca="1" si="15"/>
        <v>Medium</v>
      </c>
    </row>
    <row r="40" spans="1:15">
      <c r="A40" s="14">
        <v>45604</v>
      </c>
      <c r="B40" s="15" t="str" cm="1">
        <f t="array" aca="1" ref="B40" ca="1">INDEX(Lists!$A$1:$A$6, RANDBETWEEN(1,6))</f>
        <v>Front End Loader</v>
      </c>
      <c r="C40" s="15" t="str">
        <f ca="1">_xlfn.XLOOKUP(B40, Lists!$A$1:$A$6, Lists!$B$1:$B$6)</f>
        <v>FE1(10930360)</v>
      </c>
      <c r="D40" s="15" t="str" cm="1">
        <f t="array" aca="1" ref="D40" ca="1">INDEX(Lists!$C$1:$C$3, RANDBETWEEN(1,3))</f>
        <v>Operations</v>
      </c>
      <c r="E40" s="16">
        <f t="shared" ca="1" si="1"/>
        <v>4493</v>
      </c>
      <c r="F40" s="16">
        <f t="shared" ca="1" si="2"/>
        <v>4520</v>
      </c>
      <c r="G40" s="16">
        <f t="shared" ca="1" si="10"/>
        <v>27</v>
      </c>
      <c r="H40" s="16">
        <f t="shared" ca="1" si="4"/>
        <v>7.5</v>
      </c>
      <c r="I40" s="16">
        <f t="shared" ca="1" si="5"/>
        <v>3.28</v>
      </c>
      <c r="J40" s="16">
        <f t="shared" ca="1" si="11"/>
        <v>24.599999999999998</v>
      </c>
      <c r="K40" s="15" t="str" cm="1">
        <f t="array" aca="1" ref="K40" ca="1">INDEX(Lists!$D$1:$D$4, RANDBETWEEN(1,4))</f>
        <v>Ravi</v>
      </c>
      <c r="L40" s="16" t="str">
        <f t="shared" si="12"/>
        <v>2024-11</v>
      </c>
      <c r="M40" s="16">
        <f t="shared" si="13"/>
        <v>2024</v>
      </c>
      <c r="N40" s="17">
        <f t="shared" ca="1" si="14"/>
        <v>3.6</v>
      </c>
      <c r="O40" s="16" t="str">
        <f t="shared" ca="1" si="15"/>
        <v>Medium</v>
      </c>
    </row>
    <row r="41" spans="1:15">
      <c r="A41" s="14">
        <v>45605</v>
      </c>
      <c r="B41" s="15" t="str" cm="1">
        <f t="array" aca="1" ref="B41" ca="1">INDEX(Lists!$A$1:$A$6, RANDBETWEEN(1,6))</f>
        <v>Boom Lift</v>
      </c>
      <c r="C41" s="15" t="str">
        <f ca="1">_xlfn.XLOOKUP(B41, Lists!$A$1:$A$6, Lists!$B$1:$B$6)</f>
        <v>BL8(1047802)</v>
      </c>
      <c r="D41" s="15" t="str" cm="1">
        <f t="array" aca="1" ref="D41" ca="1">INDEX(Lists!$C$1:$C$3, RANDBETWEEN(1,3))</f>
        <v>Yard</v>
      </c>
      <c r="E41" s="16">
        <f t="shared" ca="1" si="1"/>
        <v>1581</v>
      </c>
      <c r="F41" s="16">
        <f t="shared" ca="1" si="2"/>
        <v>1600</v>
      </c>
      <c r="G41" s="16">
        <f t="shared" ca="1" si="10"/>
        <v>19</v>
      </c>
      <c r="H41" s="16">
        <f t="shared" ca="1" si="4"/>
        <v>8.5</v>
      </c>
      <c r="I41" s="16">
        <f t="shared" ca="1" si="5"/>
        <v>3.31</v>
      </c>
      <c r="J41" s="16">
        <f t="shared" ca="1" si="11"/>
        <v>28.135000000000002</v>
      </c>
      <c r="K41" s="15" t="str" cm="1">
        <f t="array" aca="1" ref="K41" ca="1">INDEX(Lists!$D$1:$D$4, RANDBETWEEN(1,4))</f>
        <v>Maria</v>
      </c>
      <c r="L41" s="16" t="str">
        <f t="shared" si="12"/>
        <v>2024-11</v>
      </c>
      <c r="M41" s="16">
        <f t="shared" si="13"/>
        <v>2024</v>
      </c>
      <c r="N41" s="17">
        <f t="shared" ca="1" si="14"/>
        <v>2.2352941176470589</v>
      </c>
      <c r="O41" s="16" t="str">
        <f t="shared" ca="1" si="15"/>
        <v>Short</v>
      </c>
    </row>
    <row r="42" spans="1:15">
      <c r="A42" s="14">
        <v>45606</v>
      </c>
      <c r="B42" s="15" t="str" cm="1">
        <f t="array" aca="1" ref="B42" ca="1">INDEX(Lists!$A$1:$A$6, RANDBETWEEN(1,6))</f>
        <v>Boom Lift</v>
      </c>
      <c r="C42" s="15" t="str">
        <f ca="1">_xlfn.XLOOKUP(B42, Lists!$A$1:$A$6, Lists!$B$1:$B$6)</f>
        <v>BL8(1047802)</v>
      </c>
      <c r="D42" s="15" t="str" cm="1">
        <f t="array" aca="1" ref="D42" ca="1">INDEX(Lists!$C$1:$C$3, RANDBETWEEN(1,3))</f>
        <v>Yard</v>
      </c>
      <c r="E42" s="16">
        <f t="shared" ca="1" si="1"/>
        <v>1721</v>
      </c>
      <c r="F42" s="16">
        <f t="shared" ca="1" si="2"/>
        <v>1783</v>
      </c>
      <c r="G42" s="16">
        <f t="shared" ca="1" si="10"/>
        <v>62</v>
      </c>
      <c r="H42" s="16">
        <f t="shared" ca="1" si="4"/>
        <v>12.5</v>
      </c>
      <c r="I42" s="16">
        <f t="shared" ca="1" si="5"/>
        <v>3.76</v>
      </c>
      <c r="J42" s="16">
        <f t="shared" ca="1" si="11"/>
        <v>47</v>
      </c>
      <c r="K42" s="15" t="str" cm="1">
        <f t="array" aca="1" ref="K42" ca="1">INDEX(Lists!$D$1:$D$4, RANDBETWEEN(1,4))</f>
        <v>Maria</v>
      </c>
      <c r="L42" s="16" t="str">
        <f t="shared" si="12"/>
        <v>2024-11</v>
      </c>
      <c r="M42" s="16">
        <f t="shared" si="13"/>
        <v>2024</v>
      </c>
      <c r="N42" s="17">
        <f t="shared" ca="1" si="14"/>
        <v>4.96</v>
      </c>
      <c r="O42" s="16" t="str">
        <f t="shared" ca="1" si="15"/>
        <v>Long</v>
      </c>
    </row>
    <row r="43" spans="1:15">
      <c r="A43" s="14">
        <v>45607</v>
      </c>
      <c r="B43" s="15" t="str" cm="1">
        <f t="array" aca="1" ref="B43" ca="1">INDEX(Lists!$A$1:$A$6, RANDBETWEEN(1,6))</f>
        <v>Bobcat</v>
      </c>
      <c r="C43" s="15" t="str">
        <f ca="1">_xlfn.XLOOKUP(B43, Lists!$A$1:$A$6, Lists!$B$1:$B$6)</f>
        <v>BC1(10931016)</v>
      </c>
      <c r="D43" s="15" t="str" cm="1">
        <f t="array" aca="1" ref="D43" ca="1">INDEX(Lists!$C$1:$C$3, RANDBETWEEN(1,3))</f>
        <v>Operations</v>
      </c>
      <c r="E43" s="16">
        <f t="shared" ca="1" si="1"/>
        <v>4808</v>
      </c>
      <c r="F43" s="16">
        <f t="shared" ca="1" si="2"/>
        <v>4874</v>
      </c>
      <c r="G43" s="16">
        <f t="shared" ca="1" si="10"/>
        <v>66</v>
      </c>
      <c r="H43" s="16">
        <f t="shared" ca="1" si="4"/>
        <v>4</v>
      </c>
      <c r="I43" s="16">
        <f t="shared" ca="1" si="5"/>
        <v>3.57</v>
      </c>
      <c r="J43" s="16">
        <f t="shared" ca="1" si="11"/>
        <v>14.28</v>
      </c>
      <c r="K43" s="15" t="str" cm="1">
        <f t="array" aca="1" ref="K43" ca="1">INDEX(Lists!$D$1:$D$4, RANDBETWEEN(1,4))</f>
        <v>Maria</v>
      </c>
      <c r="L43" s="16" t="str">
        <f t="shared" si="12"/>
        <v>2024-11</v>
      </c>
      <c r="M43" s="16">
        <f t="shared" si="13"/>
        <v>2024</v>
      </c>
      <c r="N43" s="17">
        <f t="shared" ca="1" si="14"/>
        <v>16.5</v>
      </c>
      <c r="O43" s="16" t="str">
        <f t="shared" ca="1" si="15"/>
        <v>Long</v>
      </c>
    </row>
    <row r="44" spans="1:15">
      <c r="A44" s="14">
        <v>45608</v>
      </c>
      <c r="B44" s="15" t="str" cm="1">
        <f t="array" aca="1" ref="B44" ca="1">INDEX(Lists!$A$1:$A$6, RANDBETWEEN(1,6))</f>
        <v>Front End Loader</v>
      </c>
      <c r="C44" s="15" t="str">
        <f ca="1">_xlfn.XLOOKUP(B44, Lists!$A$1:$A$6, Lists!$B$1:$B$6)</f>
        <v>FE1(10930360)</v>
      </c>
      <c r="D44" s="15" t="str" cm="1">
        <f t="array" aca="1" ref="D44" ca="1">INDEX(Lists!$C$1:$C$3, RANDBETWEEN(1,3))</f>
        <v>Operations</v>
      </c>
      <c r="E44" s="16">
        <f t="shared" ca="1" si="1"/>
        <v>4010</v>
      </c>
      <c r="F44" s="16">
        <f t="shared" ca="1" si="2"/>
        <v>4079</v>
      </c>
      <c r="G44" s="16">
        <f t="shared" ca="1" si="10"/>
        <v>69</v>
      </c>
      <c r="H44" s="16">
        <f t="shared" ca="1" si="4"/>
        <v>6.5</v>
      </c>
      <c r="I44" s="16">
        <f t="shared" ca="1" si="5"/>
        <v>3.62</v>
      </c>
      <c r="J44" s="16">
        <f t="shared" ca="1" si="11"/>
        <v>23.53</v>
      </c>
      <c r="K44" s="15" t="str" cm="1">
        <f t="array" aca="1" ref="K44" ca="1">INDEX(Lists!$D$1:$D$4, RANDBETWEEN(1,4))</f>
        <v>Ahmed</v>
      </c>
      <c r="L44" s="16" t="str">
        <f t="shared" si="12"/>
        <v>2024-11</v>
      </c>
      <c r="M44" s="16">
        <f t="shared" si="13"/>
        <v>2024</v>
      </c>
      <c r="N44" s="17">
        <f t="shared" ca="1" si="14"/>
        <v>10.615384615384615</v>
      </c>
      <c r="O44" s="16" t="str">
        <f t="shared" ca="1" si="15"/>
        <v>Long</v>
      </c>
    </row>
    <row r="45" spans="1:15">
      <c r="A45" s="14">
        <v>45609</v>
      </c>
      <c r="B45" s="15" t="str" cm="1">
        <f t="array" aca="1" ref="B45" ca="1">INDEX(Lists!$A$1:$A$6, RANDBETWEEN(1,6))</f>
        <v>Mini Excavator</v>
      </c>
      <c r="C45" s="15" t="str">
        <f ca="1">_xlfn.XLOOKUP(B45, Lists!$A$1:$A$6, Lists!$B$1:$B$6)</f>
        <v>ME6(10682709)</v>
      </c>
      <c r="D45" s="15" t="str" cm="1">
        <f t="array" aca="1" ref="D45" ca="1">INDEX(Lists!$C$1:$C$3, RANDBETWEEN(1,3))</f>
        <v>Maintenance</v>
      </c>
      <c r="E45" s="16">
        <f t="shared" ca="1" si="1"/>
        <v>1340</v>
      </c>
      <c r="F45" s="16">
        <f t="shared" ca="1" si="2"/>
        <v>1355</v>
      </c>
      <c r="G45" s="16">
        <f t="shared" ca="1" si="10"/>
        <v>15</v>
      </c>
      <c r="H45" s="16">
        <f t="shared" ca="1" si="4"/>
        <v>5</v>
      </c>
      <c r="I45" s="16">
        <f t="shared" ca="1" si="5"/>
        <v>3.51</v>
      </c>
      <c r="J45" s="16">
        <f t="shared" ca="1" si="11"/>
        <v>17.549999999999997</v>
      </c>
      <c r="K45" s="15" t="str" cm="1">
        <f t="array" aca="1" ref="K45" ca="1">INDEX(Lists!$D$1:$D$4, RANDBETWEEN(1,4))</f>
        <v>Maria</v>
      </c>
      <c r="L45" s="16" t="str">
        <f t="shared" si="12"/>
        <v>2024-11</v>
      </c>
      <c r="M45" s="16">
        <f t="shared" si="13"/>
        <v>2024</v>
      </c>
      <c r="N45" s="17">
        <f t="shared" ca="1" si="14"/>
        <v>3</v>
      </c>
      <c r="O45" s="16" t="str">
        <f t="shared" ca="1" si="15"/>
        <v>Short</v>
      </c>
    </row>
    <row r="46" spans="1:15">
      <c r="A46" s="14">
        <v>45610</v>
      </c>
      <c r="B46" s="15" t="str" cm="1">
        <f t="array" aca="1" ref="B46" ca="1">INDEX(Lists!$A$1:$A$6, RANDBETWEEN(1,6))</f>
        <v>Welding Machine</v>
      </c>
      <c r="C46" s="15" t="str">
        <f ca="1">_xlfn.XLOOKUP(B46, Lists!$A$1:$A$6, Lists!$B$1:$B$6)</f>
        <v>WM12(WD5-000729)</v>
      </c>
      <c r="D46" s="15" t="str" cm="1">
        <f t="array" aca="1" ref="D46" ca="1">INDEX(Lists!$C$1:$C$3, RANDBETWEEN(1,3))</f>
        <v>Operations</v>
      </c>
      <c r="E46" s="16">
        <f t="shared" ca="1" si="1"/>
        <v>935</v>
      </c>
      <c r="F46" s="16">
        <f t="shared" ca="1" si="2"/>
        <v>998</v>
      </c>
      <c r="G46" s="16">
        <f t="shared" ca="1" si="10"/>
        <v>63</v>
      </c>
      <c r="H46" s="16">
        <f t="shared" ca="1" si="4"/>
        <v>8</v>
      </c>
      <c r="I46" s="16">
        <f t="shared" ca="1" si="5"/>
        <v>3.71</v>
      </c>
      <c r="J46" s="16">
        <f t="shared" ca="1" si="11"/>
        <v>29.68</v>
      </c>
      <c r="K46" s="15" t="str" cm="1">
        <f t="array" aca="1" ref="K46" ca="1">INDEX(Lists!$D$1:$D$4, RANDBETWEEN(1,4))</f>
        <v>Maria</v>
      </c>
      <c r="L46" s="16" t="str">
        <f t="shared" si="12"/>
        <v>2024-11</v>
      </c>
      <c r="M46" s="16">
        <f t="shared" si="13"/>
        <v>2024</v>
      </c>
      <c r="N46" s="17">
        <f t="shared" ca="1" si="14"/>
        <v>7.875</v>
      </c>
      <c r="O46" s="16" t="str">
        <f t="shared" ca="1" si="15"/>
        <v>Long</v>
      </c>
    </row>
    <row r="47" spans="1:15">
      <c r="A47" s="14">
        <v>45611</v>
      </c>
      <c r="B47" s="15" t="str" cm="1">
        <f t="array" aca="1" ref="B47" ca="1">INDEX(Lists!$A$1:$A$6, RANDBETWEEN(1,6))</f>
        <v>Mini Excavator</v>
      </c>
      <c r="C47" s="15" t="str">
        <f ca="1">_xlfn.XLOOKUP(B47, Lists!$A$1:$A$6, Lists!$B$1:$B$6)</f>
        <v>ME6(10682709)</v>
      </c>
      <c r="D47" s="15" t="str" cm="1">
        <f t="array" aca="1" ref="D47" ca="1">INDEX(Lists!$C$1:$C$3, RANDBETWEEN(1,3))</f>
        <v>Yard</v>
      </c>
      <c r="E47" s="16">
        <f t="shared" ca="1" si="1"/>
        <v>1418</v>
      </c>
      <c r="F47" s="16">
        <f t="shared" ca="1" si="2"/>
        <v>1461</v>
      </c>
      <c r="G47" s="16">
        <f t="shared" ca="1" si="10"/>
        <v>43</v>
      </c>
      <c r="H47" s="16">
        <f t="shared" ca="1" si="4"/>
        <v>3</v>
      </c>
      <c r="I47" s="16">
        <f t="shared" ca="1" si="5"/>
        <v>3.59</v>
      </c>
      <c r="J47" s="16">
        <f t="shared" ca="1" si="11"/>
        <v>10.77</v>
      </c>
      <c r="K47" s="15" t="str" cm="1">
        <f t="array" aca="1" ref="K47" ca="1">INDEX(Lists!$D$1:$D$4, RANDBETWEEN(1,4))</f>
        <v>Jose</v>
      </c>
      <c r="L47" s="16" t="str">
        <f t="shared" si="12"/>
        <v>2024-11</v>
      </c>
      <c r="M47" s="16">
        <f t="shared" si="13"/>
        <v>2024</v>
      </c>
      <c r="N47" s="17">
        <f t="shared" ca="1" si="14"/>
        <v>14.333333333333334</v>
      </c>
      <c r="O47" s="16" t="str">
        <f t="shared" ca="1" si="15"/>
        <v>Medium</v>
      </c>
    </row>
    <row r="48" spans="1:15">
      <c r="A48" s="14">
        <v>45612</v>
      </c>
      <c r="B48" s="15" t="str" cm="1">
        <f t="array" aca="1" ref="B48" ca="1">INDEX(Lists!$A$1:$A$6, RANDBETWEEN(1,6))</f>
        <v>Welding Machine</v>
      </c>
      <c r="C48" s="15" t="str">
        <f ca="1">_xlfn.XLOOKUP(B48, Lists!$A$1:$A$6, Lists!$B$1:$B$6)</f>
        <v>WM12(WD5-000729)</v>
      </c>
      <c r="D48" s="15" t="str" cm="1">
        <f t="array" aca="1" ref="D48" ca="1">INDEX(Lists!$C$1:$C$3, RANDBETWEEN(1,3))</f>
        <v>Maintenance</v>
      </c>
      <c r="E48" s="16">
        <f t="shared" ca="1" si="1"/>
        <v>3801</v>
      </c>
      <c r="F48" s="16">
        <f t="shared" ca="1" si="2"/>
        <v>3832</v>
      </c>
      <c r="G48" s="16">
        <f t="shared" ca="1" si="10"/>
        <v>31</v>
      </c>
      <c r="H48" s="16">
        <f t="shared" ca="1" si="4"/>
        <v>12</v>
      </c>
      <c r="I48" s="16">
        <f t="shared" ca="1" si="5"/>
        <v>3.74</v>
      </c>
      <c r="J48" s="16">
        <f t="shared" ca="1" si="11"/>
        <v>44.88</v>
      </c>
      <c r="K48" s="15" t="str" cm="1">
        <f t="array" aca="1" ref="K48" ca="1">INDEX(Lists!$D$1:$D$4, RANDBETWEEN(1,4))</f>
        <v>Maria</v>
      </c>
      <c r="L48" s="16" t="str">
        <f t="shared" si="12"/>
        <v>2024-11</v>
      </c>
      <c r="M48" s="16">
        <f t="shared" si="13"/>
        <v>2024</v>
      </c>
      <c r="N48" s="17">
        <f t="shared" ca="1" si="14"/>
        <v>2.5833333333333335</v>
      </c>
      <c r="O48" s="16" t="str">
        <f t="shared" ca="1" si="15"/>
        <v>Medium</v>
      </c>
    </row>
    <row r="49" spans="1:15">
      <c r="A49" s="14">
        <v>45613</v>
      </c>
      <c r="B49" s="15" t="str" cm="1">
        <f t="array" aca="1" ref="B49" ca="1">INDEX(Lists!$A$1:$A$6, RANDBETWEEN(1,6))</f>
        <v>Front End Loader</v>
      </c>
      <c r="C49" s="15" t="str">
        <f ca="1">_xlfn.XLOOKUP(B49, Lists!$A$1:$A$6, Lists!$B$1:$B$6)</f>
        <v>FE1(10930360)</v>
      </c>
      <c r="D49" s="15" t="str" cm="1">
        <f t="array" aca="1" ref="D49" ca="1">INDEX(Lists!$C$1:$C$3, RANDBETWEEN(1,3))</f>
        <v>Maintenance</v>
      </c>
      <c r="E49" s="16">
        <f t="shared" ca="1" si="1"/>
        <v>3582</v>
      </c>
      <c r="F49" s="16">
        <f t="shared" ca="1" si="2"/>
        <v>3603</v>
      </c>
      <c r="G49" s="16">
        <f t="shared" ca="1" si="10"/>
        <v>21</v>
      </c>
      <c r="H49" s="16">
        <f t="shared" ca="1" si="4"/>
        <v>7.5</v>
      </c>
      <c r="I49" s="16">
        <f t="shared" ca="1" si="5"/>
        <v>3.22</v>
      </c>
      <c r="J49" s="16">
        <f t="shared" ca="1" si="11"/>
        <v>24.150000000000002</v>
      </c>
      <c r="K49" s="15" t="str" cm="1">
        <f t="array" aca="1" ref="K49" ca="1">INDEX(Lists!$D$1:$D$4, RANDBETWEEN(1,4))</f>
        <v>Maria</v>
      </c>
      <c r="L49" s="16" t="str">
        <f t="shared" si="12"/>
        <v>2024-11</v>
      </c>
      <c r="M49" s="16">
        <f t="shared" si="13"/>
        <v>2024</v>
      </c>
      <c r="N49" s="17">
        <f t="shared" ca="1" si="14"/>
        <v>2.8</v>
      </c>
      <c r="O49" s="16" t="str">
        <f t="shared" ca="1" si="15"/>
        <v>Medium</v>
      </c>
    </row>
    <row r="50" spans="1:15">
      <c r="A50" s="14">
        <v>45614</v>
      </c>
      <c r="B50" s="15" t="str" cm="1">
        <f t="array" aca="1" ref="B50" ca="1">INDEX(Lists!$A$1:$A$6, RANDBETWEEN(1,6))</f>
        <v>Mini Excavator</v>
      </c>
      <c r="C50" s="15" t="str">
        <f ca="1">_xlfn.XLOOKUP(B50, Lists!$A$1:$A$6, Lists!$B$1:$B$6)</f>
        <v>ME6(10682709)</v>
      </c>
      <c r="D50" s="15" t="str" cm="1">
        <f t="array" aca="1" ref="D50" ca="1">INDEX(Lists!$C$1:$C$3, RANDBETWEEN(1,3))</f>
        <v>Maintenance</v>
      </c>
      <c r="E50" s="16">
        <f t="shared" ca="1" si="1"/>
        <v>920</v>
      </c>
      <c r="F50" s="16">
        <f t="shared" ca="1" si="2"/>
        <v>929</v>
      </c>
      <c r="G50" s="16">
        <f t="shared" ca="1" si="10"/>
        <v>9</v>
      </c>
      <c r="H50" s="16">
        <f t="shared" ca="1" si="4"/>
        <v>8</v>
      </c>
      <c r="I50" s="16">
        <f t="shared" ca="1" si="5"/>
        <v>3.6</v>
      </c>
      <c r="J50" s="16">
        <f t="shared" ca="1" si="11"/>
        <v>28.8</v>
      </c>
      <c r="K50" s="15" t="str" cm="1">
        <f t="array" aca="1" ref="K50" ca="1">INDEX(Lists!$D$1:$D$4, RANDBETWEEN(1,4))</f>
        <v>Ravi</v>
      </c>
      <c r="L50" s="16" t="str">
        <f t="shared" si="12"/>
        <v>2024-11</v>
      </c>
      <c r="M50" s="16">
        <f t="shared" si="13"/>
        <v>2024</v>
      </c>
      <c r="N50" s="17">
        <f t="shared" ca="1" si="14"/>
        <v>1.125</v>
      </c>
      <c r="O50" s="16" t="str">
        <f t="shared" ca="1" si="15"/>
        <v>Short</v>
      </c>
    </row>
    <row r="51" spans="1:15">
      <c r="A51" s="14">
        <v>45615</v>
      </c>
      <c r="B51" s="15" t="str" cm="1">
        <f t="array" aca="1" ref="B51" ca="1">INDEX(Lists!$A$1:$A$6, RANDBETWEEN(1,6))</f>
        <v>Front End Loader</v>
      </c>
      <c r="C51" s="15" t="str">
        <f ca="1">_xlfn.XLOOKUP(B51, Lists!$A$1:$A$6, Lists!$B$1:$B$6)</f>
        <v>FE1(10930360)</v>
      </c>
      <c r="D51" s="15" t="str" cm="1">
        <f t="array" aca="1" ref="D51" ca="1">INDEX(Lists!$C$1:$C$3, RANDBETWEEN(1,3))</f>
        <v>Maintenance</v>
      </c>
      <c r="E51" s="16">
        <f t="shared" ca="1" si="1"/>
        <v>3546</v>
      </c>
      <c r="F51" s="16">
        <f t="shared" ca="1" si="2"/>
        <v>3571</v>
      </c>
      <c r="G51" s="16">
        <f t="shared" ca="1" si="10"/>
        <v>25</v>
      </c>
      <c r="H51" s="16">
        <f t="shared" ca="1" si="4"/>
        <v>12</v>
      </c>
      <c r="I51" s="16">
        <f t="shared" ca="1" si="5"/>
        <v>3.38</v>
      </c>
      <c r="J51" s="16">
        <f t="shared" ca="1" si="11"/>
        <v>40.56</v>
      </c>
      <c r="K51" s="15" t="str" cm="1">
        <f t="array" aca="1" ref="K51" ca="1">INDEX(Lists!$D$1:$D$4, RANDBETWEEN(1,4))</f>
        <v>Maria</v>
      </c>
      <c r="L51" s="16" t="str">
        <f t="shared" si="12"/>
        <v>2024-11</v>
      </c>
      <c r="M51" s="16">
        <f t="shared" si="13"/>
        <v>2024</v>
      </c>
      <c r="N51" s="17">
        <f t="shared" ca="1" si="14"/>
        <v>2.0833333333333335</v>
      </c>
      <c r="O51" s="16" t="str">
        <f t="shared" ca="1" si="15"/>
        <v>Medium</v>
      </c>
    </row>
    <row r="52" spans="1:15">
      <c r="A52" s="14">
        <v>45616</v>
      </c>
      <c r="B52" s="15" t="str" cm="1">
        <f t="array" aca="1" ref="B52" ca="1">INDEX(Lists!$A$1:$A$6, RANDBETWEEN(1,6))</f>
        <v>Boom Lift</v>
      </c>
      <c r="C52" s="15" t="str">
        <f ca="1">_xlfn.XLOOKUP(B52, Lists!$A$1:$A$6, Lists!$B$1:$B$6)</f>
        <v>BL8(1047802)</v>
      </c>
      <c r="D52" s="15" t="str" cm="1">
        <f t="array" aca="1" ref="D52" ca="1">INDEX(Lists!$C$1:$C$3, RANDBETWEEN(1,3))</f>
        <v>Yard</v>
      </c>
      <c r="E52" s="16">
        <f t="shared" ca="1" si="1"/>
        <v>4047</v>
      </c>
      <c r="F52" s="16">
        <f t="shared" ca="1" si="2"/>
        <v>4093</v>
      </c>
      <c r="G52" s="16">
        <f t="shared" ca="1" si="10"/>
        <v>46</v>
      </c>
      <c r="H52" s="16">
        <f t="shared" ca="1" si="4"/>
        <v>7</v>
      </c>
      <c r="I52" s="16">
        <f t="shared" ca="1" si="5"/>
        <v>3.39</v>
      </c>
      <c r="J52" s="16">
        <f t="shared" ca="1" si="11"/>
        <v>23.73</v>
      </c>
      <c r="K52" s="15" t="str" cm="1">
        <f t="array" aca="1" ref="K52" ca="1">INDEX(Lists!$D$1:$D$4, RANDBETWEEN(1,4))</f>
        <v>Ahmed</v>
      </c>
      <c r="L52" s="16" t="str">
        <f t="shared" si="12"/>
        <v>2024-11</v>
      </c>
      <c r="M52" s="16">
        <f t="shared" si="13"/>
        <v>2024</v>
      </c>
      <c r="N52" s="17">
        <f t="shared" ca="1" si="14"/>
        <v>6.5714285714285712</v>
      </c>
      <c r="O52" s="16" t="str">
        <f t="shared" ca="1" si="15"/>
        <v>Medium</v>
      </c>
    </row>
    <row r="53" spans="1:15">
      <c r="A53" s="14">
        <v>45617</v>
      </c>
      <c r="B53" s="15" t="str" cm="1">
        <f t="array" aca="1" ref="B53" ca="1">INDEX(Lists!$A$1:$A$6, RANDBETWEEN(1,6))</f>
        <v>Forklift</v>
      </c>
      <c r="C53" s="15" t="str">
        <f ca="1">_xlfn.XLOOKUP(B53, Lists!$A$1:$A$6, Lists!$B$1:$B$6)</f>
        <v>F7(217595AH)</v>
      </c>
      <c r="D53" s="15" t="str" cm="1">
        <f t="array" aca="1" ref="D53" ca="1">INDEX(Lists!$C$1:$C$3, RANDBETWEEN(1,3))</f>
        <v>Yard</v>
      </c>
      <c r="E53" s="16">
        <f t="shared" ca="1" si="1"/>
        <v>5000</v>
      </c>
      <c r="F53" s="16">
        <f t="shared" ca="1" si="2"/>
        <v>5065</v>
      </c>
      <c r="G53" s="16">
        <f t="shared" ca="1" si="10"/>
        <v>65</v>
      </c>
      <c r="H53" s="16">
        <f t="shared" ca="1" si="4"/>
        <v>10.5</v>
      </c>
      <c r="I53" s="16">
        <f t="shared" ca="1" si="5"/>
        <v>3.55</v>
      </c>
      <c r="J53" s="16">
        <f t="shared" ca="1" si="11"/>
        <v>37.274999999999999</v>
      </c>
      <c r="K53" s="15" t="str" cm="1">
        <f t="array" aca="1" ref="K53" ca="1">INDEX(Lists!$D$1:$D$4, RANDBETWEEN(1,4))</f>
        <v>Ravi</v>
      </c>
      <c r="L53" s="16" t="str">
        <f t="shared" si="12"/>
        <v>2024-11</v>
      </c>
      <c r="M53" s="16">
        <f t="shared" si="13"/>
        <v>2024</v>
      </c>
      <c r="N53" s="17">
        <f t="shared" ca="1" si="14"/>
        <v>6.1904761904761907</v>
      </c>
      <c r="O53" s="16" t="str">
        <f t="shared" ca="1" si="15"/>
        <v>Long</v>
      </c>
    </row>
    <row r="54" spans="1:15">
      <c r="A54" s="14">
        <v>45618</v>
      </c>
      <c r="B54" s="15" t="str" cm="1">
        <f t="array" aca="1" ref="B54" ca="1">INDEX(Lists!$A$1:$A$6, RANDBETWEEN(1,6))</f>
        <v>Bobcat</v>
      </c>
      <c r="C54" s="15" t="str">
        <f ca="1">_xlfn.XLOOKUP(B54, Lists!$A$1:$A$6, Lists!$B$1:$B$6)</f>
        <v>BC1(10931016)</v>
      </c>
      <c r="D54" s="15" t="str" cm="1">
        <f t="array" aca="1" ref="D54" ca="1">INDEX(Lists!$C$1:$C$3, RANDBETWEEN(1,3))</f>
        <v>Operations</v>
      </c>
      <c r="E54" s="16">
        <f t="shared" ca="1" si="1"/>
        <v>1347</v>
      </c>
      <c r="F54" s="16">
        <f t="shared" ca="1" si="2"/>
        <v>1362</v>
      </c>
      <c r="G54" s="16">
        <f t="shared" ca="1" si="10"/>
        <v>15</v>
      </c>
      <c r="H54" s="16">
        <f t="shared" ca="1" si="4"/>
        <v>4</v>
      </c>
      <c r="I54" s="16">
        <f t="shared" ca="1" si="5"/>
        <v>3.61</v>
      </c>
      <c r="J54" s="16">
        <f t="shared" ca="1" si="11"/>
        <v>14.44</v>
      </c>
      <c r="K54" s="15" t="str" cm="1">
        <f t="array" aca="1" ref="K54" ca="1">INDEX(Lists!$D$1:$D$4, RANDBETWEEN(1,4))</f>
        <v>Jose</v>
      </c>
      <c r="L54" s="16" t="str">
        <f t="shared" si="12"/>
        <v>2024-11</v>
      </c>
      <c r="M54" s="16">
        <f t="shared" si="13"/>
        <v>2024</v>
      </c>
      <c r="N54" s="17">
        <f t="shared" ca="1" si="14"/>
        <v>3.75</v>
      </c>
      <c r="O54" s="16" t="str">
        <f t="shared" ca="1" si="15"/>
        <v>Short</v>
      </c>
    </row>
    <row r="55" spans="1:15">
      <c r="A55" s="14">
        <v>45619</v>
      </c>
      <c r="B55" s="15" t="str" cm="1">
        <f t="array" aca="1" ref="B55" ca="1">INDEX(Lists!$A$1:$A$6, RANDBETWEEN(1,6))</f>
        <v>Welding Machine</v>
      </c>
      <c r="C55" s="15" t="str">
        <f ca="1">_xlfn.XLOOKUP(B55, Lists!$A$1:$A$6, Lists!$B$1:$B$6)</f>
        <v>WM12(WD5-000729)</v>
      </c>
      <c r="D55" s="15" t="str" cm="1">
        <f t="array" aca="1" ref="D55" ca="1">INDEX(Lists!$C$1:$C$3, RANDBETWEEN(1,3))</f>
        <v>Operations</v>
      </c>
      <c r="E55" s="16">
        <f t="shared" ca="1" si="1"/>
        <v>3301</v>
      </c>
      <c r="F55" s="16">
        <f t="shared" ca="1" si="2"/>
        <v>3337</v>
      </c>
      <c r="G55" s="16">
        <f t="shared" ca="1" si="10"/>
        <v>36</v>
      </c>
      <c r="H55" s="16">
        <f t="shared" ca="1" si="4"/>
        <v>4</v>
      </c>
      <c r="I55" s="16">
        <f t="shared" ca="1" si="5"/>
        <v>3.58</v>
      </c>
      <c r="J55" s="16">
        <f t="shared" ca="1" si="11"/>
        <v>14.32</v>
      </c>
      <c r="K55" s="15" t="str" cm="1">
        <f t="array" aca="1" ref="K55" ca="1">INDEX(Lists!$D$1:$D$4, RANDBETWEEN(1,4))</f>
        <v>Ahmed</v>
      </c>
      <c r="L55" s="16" t="str">
        <f t="shared" si="12"/>
        <v>2024-11</v>
      </c>
      <c r="M55" s="16">
        <f t="shared" si="13"/>
        <v>2024</v>
      </c>
      <c r="N55" s="17">
        <f t="shared" ca="1" si="14"/>
        <v>9</v>
      </c>
      <c r="O55" s="16" t="str">
        <f t="shared" ca="1" si="15"/>
        <v>Medium</v>
      </c>
    </row>
    <row r="56" spans="1:15">
      <c r="A56" s="14">
        <v>45620</v>
      </c>
      <c r="B56" s="15" t="str" cm="1">
        <f t="array" aca="1" ref="B56" ca="1">INDEX(Lists!$A$1:$A$6, RANDBETWEEN(1,6))</f>
        <v>Welding Machine</v>
      </c>
      <c r="C56" s="15" t="str">
        <f ca="1">_xlfn.XLOOKUP(B56, Lists!$A$1:$A$6, Lists!$B$1:$B$6)</f>
        <v>WM12(WD5-000729)</v>
      </c>
      <c r="D56" s="15" t="str" cm="1">
        <f t="array" aca="1" ref="D56" ca="1">INDEX(Lists!$C$1:$C$3, RANDBETWEEN(1,3))</f>
        <v>Operations</v>
      </c>
      <c r="E56" s="16">
        <f t="shared" ca="1" si="1"/>
        <v>4455</v>
      </c>
      <c r="F56" s="16">
        <f t="shared" ca="1" si="2"/>
        <v>4501</v>
      </c>
      <c r="G56" s="16">
        <f t="shared" ca="1" si="10"/>
        <v>46</v>
      </c>
      <c r="H56" s="16">
        <f t="shared" ca="1" si="4"/>
        <v>4.5</v>
      </c>
      <c r="I56" s="16">
        <f t="shared" ca="1" si="5"/>
        <v>3.26</v>
      </c>
      <c r="J56" s="16">
        <f t="shared" ca="1" si="11"/>
        <v>14.669999999999998</v>
      </c>
      <c r="K56" s="15" t="str" cm="1">
        <f t="array" aca="1" ref="K56" ca="1">INDEX(Lists!$D$1:$D$4, RANDBETWEEN(1,4))</f>
        <v>Ahmed</v>
      </c>
      <c r="L56" s="16" t="str">
        <f t="shared" si="12"/>
        <v>2024-11</v>
      </c>
      <c r="M56" s="16">
        <f t="shared" si="13"/>
        <v>2024</v>
      </c>
      <c r="N56" s="17">
        <f t="shared" ca="1" si="14"/>
        <v>10.222222222222221</v>
      </c>
      <c r="O56" s="16" t="str">
        <f t="shared" ca="1" si="15"/>
        <v>Medium</v>
      </c>
    </row>
    <row r="57" spans="1:15">
      <c r="A57" s="14">
        <v>45621</v>
      </c>
      <c r="B57" s="15" t="str" cm="1">
        <f t="array" aca="1" ref="B57" ca="1">INDEX(Lists!$A$1:$A$6, RANDBETWEEN(1,6))</f>
        <v>Boom Lift</v>
      </c>
      <c r="C57" s="15" t="str">
        <f ca="1">_xlfn.XLOOKUP(B57, Lists!$A$1:$A$6, Lists!$B$1:$B$6)</f>
        <v>BL8(1047802)</v>
      </c>
      <c r="D57" s="15" t="str" cm="1">
        <f t="array" aca="1" ref="D57" ca="1">INDEX(Lists!$C$1:$C$3, RANDBETWEEN(1,3))</f>
        <v>Operations</v>
      </c>
      <c r="E57" s="16">
        <f t="shared" ca="1" si="1"/>
        <v>2320</v>
      </c>
      <c r="F57" s="16">
        <f t="shared" ca="1" si="2"/>
        <v>2375</v>
      </c>
      <c r="G57" s="16">
        <f t="shared" ca="1" si="10"/>
        <v>55</v>
      </c>
      <c r="H57" s="16">
        <f t="shared" ca="1" si="4"/>
        <v>4</v>
      </c>
      <c r="I57" s="16">
        <f t="shared" ca="1" si="5"/>
        <v>3.22</v>
      </c>
      <c r="J57" s="16">
        <f t="shared" ca="1" si="11"/>
        <v>12.88</v>
      </c>
      <c r="K57" s="15" t="str" cm="1">
        <f t="array" aca="1" ref="K57" ca="1">INDEX(Lists!$D$1:$D$4, RANDBETWEEN(1,4))</f>
        <v>Jose</v>
      </c>
      <c r="L57" s="16" t="str">
        <f t="shared" si="12"/>
        <v>2024-11</v>
      </c>
      <c r="M57" s="16">
        <f t="shared" si="13"/>
        <v>2024</v>
      </c>
      <c r="N57" s="17">
        <f t="shared" ca="1" si="14"/>
        <v>13.75</v>
      </c>
      <c r="O57" s="16" t="str">
        <f t="shared" ca="1" si="15"/>
        <v>Long</v>
      </c>
    </row>
    <row r="58" spans="1:15">
      <c r="A58" s="14">
        <v>45622</v>
      </c>
      <c r="B58" s="15" t="str" cm="1">
        <f t="array" aca="1" ref="B58" ca="1">INDEX(Lists!$A$1:$A$6, RANDBETWEEN(1,6))</f>
        <v>Bobcat</v>
      </c>
      <c r="C58" s="15" t="str">
        <f ca="1">_xlfn.XLOOKUP(B58, Lists!$A$1:$A$6, Lists!$B$1:$B$6)</f>
        <v>BC1(10931016)</v>
      </c>
      <c r="D58" s="15" t="str" cm="1">
        <f t="array" aca="1" ref="D58" ca="1">INDEX(Lists!$C$1:$C$3, RANDBETWEEN(1,3))</f>
        <v>Yard</v>
      </c>
      <c r="E58" s="16">
        <f t="shared" ca="1" si="1"/>
        <v>2473</v>
      </c>
      <c r="F58" s="16">
        <f t="shared" ca="1" si="2"/>
        <v>2500</v>
      </c>
      <c r="G58" s="16">
        <f t="shared" ca="1" si="10"/>
        <v>27</v>
      </c>
      <c r="H58" s="16">
        <f t="shared" ca="1" si="4"/>
        <v>11.5</v>
      </c>
      <c r="I58" s="16">
        <f t="shared" ca="1" si="5"/>
        <v>3.75</v>
      </c>
      <c r="J58" s="16">
        <f t="shared" ca="1" si="11"/>
        <v>43.125</v>
      </c>
      <c r="K58" s="15" t="str" cm="1">
        <f t="array" aca="1" ref="K58" ca="1">INDEX(Lists!$D$1:$D$4, RANDBETWEEN(1,4))</f>
        <v>Ravi</v>
      </c>
      <c r="L58" s="16" t="str">
        <f t="shared" si="12"/>
        <v>2024-11</v>
      </c>
      <c r="M58" s="16">
        <f t="shared" si="13"/>
        <v>2024</v>
      </c>
      <c r="N58" s="17">
        <f t="shared" ca="1" si="14"/>
        <v>2.347826086956522</v>
      </c>
      <c r="O58" s="16" t="str">
        <f t="shared" ca="1" si="15"/>
        <v>Medium</v>
      </c>
    </row>
    <row r="59" spans="1:15">
      <c r="A59" s="14">
        <v>45623</v>
      </c>
      <c r="B59" s="15" t="str" cm="1">
        <f t="array" aca="1" ref="B59" ca="1">INDEX(Lists!$A$1:$A$6, RANDBETWEEN(1,6))</f>
        <v>Mini Excavator</v>
      </c>
      <c r="C59" s="15" t="str">
        <f ca="1">_xlfn.XLOOKUP(B59, Lists!$A$1:$A$6, Lists!$B$1:$B$6)</f>
        <v>ME6(10682709)</v>
      </c>
      <c r="D59" s="15" t="str" cm="1">
        <f t="array" aca="1" ref="D59" ca="1">INDEX(Lists!$C$1:$C$3, RANDBETWEEN(1,3))</f>
        <v>Maintenance</v>
      </c>
      <c r="E59" s="16">
        <f t="shared" ca="1" si="1"/>
        <v>2494</v>
      </c>
      <c r="F59" s="16">
        <f t="shared" ca="1" si="2"/>
        <v>2538</v>
      </c>
      <c r="G59" s="16">
        <f t="shared" ca="1" si="10"/>
        <v>44</v>
      </c>
      <c r="H59" s="16">
        <f t="shared" ca="1" si="4"/>
        <v>6</v>
      </c>
      <c r="I59" s="16">
        <f t="shared" ca="1" si="5"/>
        <v>3.79</v>
      </c>
      <c r="J59" s="16">
        <f t="shared" ca="1" si="11"/>
        <v>22.740000000000002</v>
      </c>
      <c r="K59" s="15" t="str" cm="1">
        <f t="array" aca="1" ref="K59" ca="1">INDEX(Lists!$D$1:$D$4, RANDBETWEEN(1,4))</f>
        <v>Ahmed</v>
      </c>
      <c r="L59" s="16" t="str">
        <f t="shared" si="12"/>
        <v>2024-11</v>
      </c>
      <c r="M59" s="16">
        <f t="shared" si="13"/>
        <v>2024</v>
      </c>
      <c r="N59" s="17">
        <f t="shared" ca="1" si="14"/>
        <v>7.333333333333333</v>
      </c>
      <c r="O59" s="16" t="str">
        <f t="shared" ca="1" si="15"/>
        <v>Medium</v>
      </c>
    </row>
    <row r="60" spans="1:15">
      <c r="A60" s="14">
        <v>45624</v>
      </c>
      <c r="B60" s="15" t="str" cm="1">
        <f t="array" aca="1" ref="B60" ca="1">INDEX(Lists!$A$1:$A$6, RANDBETWEEN(1,6))</f>
        <v>Forklift</v>
      </c>
      <c r="C60" s="15" t="str">
        <f ca="1">_xlfn.XLOOKUP(B60, Lists!$A$1:$A$6, Lists!$B$1:$B$6)</f>
        <v>F7(217595AH)</v>
      </c>
      <c r="D60" s="15" t="str" cm="1">
        <f t="array" aca="1" ref="D60" ca="1">INDEX(Lists!$C$1:$C$3, RANDBETWEEN(1,3))</f>
        <v>Maintenance</v>
      </c>
      <c r="E60" s="16">
        <f t="shared" ca="1" si="1"/>
        <v>4144</v>
      </c>
      <c r="F60" s="16">
        <f t="shared" ca="1" si="2"/>
        <v>4163</v>
      </c>
      <c r="G60" s="16">
        <f t="shared" ca="1" si="10"/>
        <v>19</v>
      </c>
      <c r="H60" s="16">
        <f t="shared" ca="1" si="4"/>
        <v>11.5</v>
      </c>
      <c r="I60" s="16">
        <f t="shared" ca="1" si="5"/>
        <v>3.63</v>
      </c>
      <c r="J60" s="16">
        <f t="shared" ca="1" si="11"/>
        <v>41.744999999999997</v>
      </c>
      <c r="K60" s="15" t="str" cm="1">
        <f t="array" aca="1" ref="K60" ca="1">INDEX(Lists!$D$1:$D$4, RANDBETWEEN(1,4))</f>
        <v>Ahmed</v>
      </c>
      <c r="L60" s="16" t="str">
        <f t="shared" si="12"/>
        <v>2024-11</v>
      </c>
      <c r="M60" s="16">
        <f t="shared" si="13"/>
        <v>2024</v>
      </c>
      <c r="N60" s="17">
        <f t="shared" ca="1" si="14"/>
        <v>1.6521739130434783</v>
      </c>
      <c r="O60" s="16" t="str">
        <f t="shared" ca="1" si="15"/>
        <v>Short</v>
      </c>
    </row>
    <row r="61" spans="1:15">
      <c r="A61" s="14">
        <v>45625</v>
      </c>
      <c r="B61" s="15" t="str" cm="1">
        <f t="array" aca="1" ref="B61" ca="1">INDEX(Lists!$A$1:$A$6, RANDBETWEEN(1,6))</f>
        <v>Bobcat</v>
      </c>
      <c r="C61" s="15" t="str">
        <f ca="1">_xlfn.XLOOKUP(B61, Lists!$A$1:$A$6, Lists!$B$1:$B$6)</f>
        <v>BC1(10931016)</v>
      </c>
      <c r="D61" s="15" t="str" cm="1">
        <f t="array" aca="1" ref="D61" ca="1">INDEX(Lists!$C$1:$C$3, RANDBETWEEN(1,3))</f>
        <v>Operations</v>
      </c>
      <c r="E61" s="16">
        <f t="shared" ca="1" si="1"/>
        <v>539</v>
      </c>
      <c r="F61" s="16">
        <f t="shared" ca="1" si="2"/>
        <v>616</v>
      </c>
      <c r="G61" s="16">
        <f t="shared" ca="1" si="10"/>
        <v>77</v>
      </c>
      <c r="H61" s="16">
        <f t="shared" ca="1" si="4"/>
        <v>10</v>
      </c>
      <c r="I61" s="16">
        <f t="shared" ca="1" si="5"/>
        <v>3.7</v>
      </c>
      <c r="J61" s="16">
        <f t="shared" ca="1" si="11"/>
        <v>37</v>
      </c>
      <c r="K61" s="15" t="str" cm="1">
        <f t="array" aca="1" ref="K61" ca="1">INDEX(Lists!$D$1:$D$4, RANDBETWEEN(1,4))</f>
        <v>Ravi</v>
      </c>
      <c r="L61" s="16" t="str">
        <f t="shared" si="12"/>
        <v>2024-11</v>
      </c>
      <c r="M61" s="16">
        <f t="shared" si="13"/>
        <v>2024</v>
      </c>
      <c r="N61" s="17">
        <f t="shared" ca="1" si="14"/>
        <v>7.7</v>
      </c>
      <c r="O61" s="16" t="str">
        <f t="shared" ca="1" si="15"/>
        <v>Long</v>
      </c>
    </row>
    <row r="62" spans="1:15">
      <c r="A62" s="14">
        <v>45626</v>
      </c>
      <c r="B62" s="15" t="str" cm="1">
        <f t="array" aca="1" ref="B62" ca="1">INDEX(Lists!$A$1:$A$6, RANDBETWEEN(1,6))</f>
        <v>Bobcat</v>
      </c>
      <c r="C62" s="15" t="str">
        <f ca="1">_xlfn.XLOOKUP(B62, Lists!$A$1:$A$6, Lists!$B$1:$B$6)</f>
        <v>BC1(10931016)</v>
      </c>
      <c r="D62" s="15" t="str" cm="1">
        <f t="array" aca="1" ref="D62" ca="1">INDEX(Lists!$C$1:$C$3, RANDBETWEEN(1,3))</f>
        <v>Maintenance</v>
      </c>
      <c r="E62" s="16">
        <f t="shared" ca="1" si="1"/>
        <v>3744</v>
      </c>
      <c r="F62" s="16">
        <f t="shared" ca="1" si="2"/>
        <v>3772</v>
      </c>
      <c r="G62" s="16">
        <f t="shared" ca="1" si="10"/>
        <v>28</v>
      </c>
      <c r="H62" s="16">
        <f t="shared" ca="1" si="4"/>
        <v>8.5</v>
      </c>
      <c r="I62" s="16">
        <f t="shared" ca="1" si="5"/>
        <v>3.76</v>
      </c>
      <c r="J62" s="16">
        <f t="shared" ca="1" si="11"/>
        <v>31.959999999999997</v>
      </c>
      <c r="K62" s="15" t="str" cm="1">
        <f t="array" aca="1" ref="K62" ca="1">INDEX(Lists!$D$1:$D$4, RANDBETWEEN(1,4))</f>
        <v>Jose</v>
      </c>
      <c r="L62" s="16" t="str">
        <f t="shared" si="12"/>
        <v>2024-11</v>
      </c>
      <c r="M62" s="16">
        <f t="shared" si="13"/>
        <v>2024</v>
      </c>
      <c r="N62" s="17">
        <f t="shared" ca="1" si="14"/>
        <v>3.2941176470588234</v>
      </c>
      <c r="O62" s="16" t="str">
        <f t="shared" ca="1" si="15"/>
        <v>Medium</v>
      </c>
    </row>
    <row r="63" spans="1:15">
      <c r="A63" s="14">
        <v>45627</v>
      </c>
      <c r="B63" s="15" t="str" cm="1">
        <f t="array" aca="1" ref="B63" ca="1">INDEX(Lists!$A$1:$A$6, RANDBETWEEN(1,6))</f>
        <v>Forklift</v>
      </c>
      <c r="C63" s="15" t="str">
        <f ca="1">_xlfn.XLOOKUP(B63, Lists!$A$1:$A$6, Lists!$B$1:$B$6)</f>
        <v>F7(217595AH)</v>
      </c>
      <c r="D63" s="15" t="str" cm="1">
        <f t="array" aca="1" ref="D63" ca="1">INDEX(Lists!$C$1:$C$3, RANDBETWEEN(1,3))</f>
        <v>Operations</v>
      </c>
      <c r="E63" s="16">
        <f t="shared" ca="1" si="1"/>
        <v>3289</v>
      </c>
      <c r="F63" s="16">
        <f t="shared" ca="1" si="2"/>
        <v>3306</v>
      </c>
      <c r="G63" s="16">
        <f t="shared" ca="1" si="10"/>
        <v>17</v>
      </c>
      <c r="H63" s="16">
        <f t="shared" ca="1" si="4"/>
        <v>11.5</v>
      </c>
      <c r="I63" s="16">
        <f t="shared" ca="1" si="5"/>
        <v>3.73</v>
      </c>
      <c r="J63" s="16">
        <f t="shared" ca="1" si="11"/>
        <v>42.895000000000003</v>
      </c>
      <c r="K63" s="15" t="str" cm="1">
        <f t="array" aca="1" ref="K63" ca="1">INDEX(Lists!$D$1:$D$4, RANDBETWEEN(1,4))</f>
        <v>Ravi</v>
      </c>
      <c r="L63" s="16" t="str">
        <f t="shared" si="12"/>
        <v>2024-12</v>
      </c>
      <c r="M63" s="16">
        <f t="shared" si="13"/>
        <v>2024</v>
      </c>
      <c r="N63" s="17">
        <f t="shared" ca="1" si="14"/>
        <v>1.4782608695652173</v>
      </c>
      <c r="O63" s="16" t="str">
        <f t="shared" ca="1" si="15"/>
        <v>Short</v>
      </c>
    </row>
    <row r="64" spans="1:15">
      <c r="A64" s="14">
        <v>45628</v>
      </c>
      <c r="B64" s="15" t="str" cm="1">
        <f t="array" aca="1" ref="B64" ca="1">INDEX(Lists!$A$1:$A$6, RANDBETWEEN(1,6))</f>
        <v>Mini Excavator</v>
      </c>
      <c r="C64" s="15" t="str">
        <f ca="1">_xlfn.XLOOKUP(B64, Lists!$A$1:$A$6, Lists!$B$1:$B$6)</f>
        <v>ME6(10682709)</v>
      </c>
      <c r="D64" s="15" t="str" cm="1">
        <f t="array" aca="1" ref="D64" ca="1">INDEX(Lists!$C$1:$C$3, RANDBETWEEN(1,3))</f>
        <v>Yard</v>
      </c>
      <c r="E64" s="16">
        <f t="shared" ca="1" si="1"/>
        <v>840</v>
      </c>
      <c r="F64" s="16">
        <f t="shared" ca="1" si="2"/>
        <v>848</v>
      </c>
      <c r="G64" s="16">
        <f t="shared" ca="1" si="10"/>
        <v>8</v>
      </c>
      <c r="H64" s="16">
        <f t="shared" ca="1" si="4"/>
        <v>5.5</v>
      </c>
      <c r="I64" s="16">
        <f t="shared" ca="1" si="5"/>
        <v>3.67</v>
      </c>
      <c r="J64" s="16">
        <f t="shared" ca="1" si="11"/>
        <v>20.184999999999999</v>
      </c>
      <c r="K64" s="15" t="str" cm="1">
        <f t="array" aca="1" ref="K64" ca="1">INDEX(Lists!$D$1:$D$4, RANDBETWEEN(1,4))</f>
        <v>Jose</v>
      </c>
      <c r="L64" s="16" t="str">
        <f t="shared" si="12"/>
        <v>2024-12</v>
      </c>
      <c r="M64" s="16">
        <f t="shared" si="13"/>
        <v>2024</v>
      </c>
      <c r="N64" s="17">
        <f t="shared" ca="1" si="14"/>
        <v>1.4545454545454546</v>
      </c>
      <c r="O64" s="16" t="str">
        <f t="shared" ca="1" si="15"/>
        <v>Short</v>
      </c>
    </row>
    <row r="65" spans="1:15">
      <c r="A65" s="14">
        <v>45629</v>
      </c>
      <c r="B65" s="15" t="str" cm="1">
        <f t="array" aca="1" ref="B65" ca="1">INDEX(Lists!$A$1:$A$6, RANDBETWEEN(1,6))</f>
        <v>Welding Machine</v>
      </c>
      <c r="C65" s="15" t="str">
        <f ca="1">_xlfn.XLOOKUP(B65, Lists!$A$1:$A$6, Lists!$B$1:$B$6)</f>
        <v>WM12(WD5-000729)</v>
      </c>
      <c r="D65" s="15" t="str" cm="1">
        <f t="array" aca="1" ref="D65" ca="1">INDEX(Lists!$C$1:$C$3, RANDBETWEEN(1,3))</f>
        <v>Operations</v>
      </c>
      <c r="E65" s="16">
        <f t="shared" ca="1" si="1"/>
        <v>4175</v>
      </c>
      <c r="F65" s="16">
        <f t="shared" ca="1" si="2"/>
        <v>4229</v>
      </c>
      <c r="G65" s="16">
        <f t="shared" ca="1" si="10"/>
        <v>54</v>
      </c>
      <c r="H65" s="16">
        <f t="shared" ca="1" si="4"/>
        <v>6</v>
      </c>
      <c r="I65" s="16">
        <f t="shared" ca="1" si="5"/>
        <v>3.46</v>
      </c>
      <c r="J65" s="16">
        <f t="shared" ca="1" si="11"/>
        <v>20.759999999999998</v>
      </c>
      <c r="K65" s="15" t="str" cm="1">
        <f t="array" aca="1" ref="K65" ca="1">INDEX(Lists!$D$1:$D$4, RANDBETWEEN(1,4))</f>
        <v>Maria</v>
      </c>
      <c r="L65" s="16" t="str">
        <f t="shared" si="12"/>
        <v>2024-12</v>
      </c>
      <c r="M65" s="16">
        <f t="shared" si="13"/>
        <v>2024</v>
      </c>
      <c r="N65" s="17">
        <f t="shared" ca="1" si="14"/>
        <v>9</v>
      </c>
      <c r="O65" s="16" t="str">
        <f t="shared" ca="1" si="15"/>
        <v>Long</v>
      </c>
    </row>
    <row r="66" spans="1:15">
      <c r="A66" s="14">
        <v>45630</v>
      </c>
      <c r="B66" s="15" t="str" cm="1">
        <f t="array" aca="1" ref="B66" ca="1">INDEX(Lists!$A$1:$A$6, RANDBETWEEN(1,6))</f>
        <v>Welding Machine</v>
      </c>
      <c r="C66" s="15" t="str">
        <f ca="1">_xlfn.XLOOKUP(B66, Lists!$A$1:$A$6, Lists!$B$1:$B$6)</f>
        <v>WM12(WD5-000729)</v>
      </c>
      <c r="D66" s="15" t="str" cm="1">
        <f t="array" aca="1" ref="D66" ca="1">INDEX(Lists!$C$1:$C$3, RANDBETWEEN(1,3))</f>
        <v>Operations</v>
      </c>
      <c r="E66" s="16">
        <f t="shared" ca="1" si="1"/>
        <v>2744</v>
      </c>
      <c r="F66" s="16">
        <f t="shared" ca="1" si="2"/>
        <v>2810</v>
      </c>
      <c r="G66" s="16">
        <f t="shared" ca="1" si="10"/>
        <v>66</v>
      </c>
      <c r="H66" s="16">
        <f t="shared" ca="1" si="4"/>
        <v>3</v>
      </c>
      <c r="I66" s="16">
        <f t="shared" ca="1" si="5"/>
        <v>3.42</v>
      </c>
      <c r="J66" s="16">
        <f t="shared" ca="1" si="11"/>
        <v>10.26</v>
      </c>
      <c r="K66" s="15" t="str" cm="1">
        <f t="array" aca="1" ref="K66" ca="1">INDEX(Lists!$D$1:$D$4, RANDBETWEEN(1,4))</f>
        <v>Ravi</v>
      </c>
      <c r="L66" s="16" t="str">
        <f t="shared" si="12"/>
        <v>2024-12</v>
      </c>
      <c r="M66" s="16">
        <f t="shared" si="13"/>
        <v>2024</v>
      </c>
      <c r="N66" s="17">
        <f t="shared" ca="1" si="14"/>
        <v>22</v>
      </c>
      <c r="O66" s="16" t="str">
        <f t="shared" ref="O66:O97" ca="1" si="16">IF(G66&lt;20,"Short", IF(G66&lt;=50,"Medium","Long"))</f>
        <v>Long</v>
      </c>
    </row>
    <row r="67" spans="1:15">
      <c r="A67" s="14">
        <v>45631</v>
      </c>
      <c r="B67" s="15" t="str" cm="1">
        <f t="array" aca="1" ref="B67" ca="1">INDEX(Lists!$A$1:$A$6, RANDBETWEEN(1,6))</f>
        <v>Forklift</v>
      </c>
      <c r="C67" s="15" t="str">
        <f ca="1">_xlfn.XLOOKUP(B67, Lists!$A$1:$A$6, Lists!$B$1:$B$6)</f>
        <v>F7(217595AH)</v>
      </c>
      <c r="D67" s="15" t="str" cm="1">
        <f t="array" aca="1" ref="D67" ca="1">INDEX(Lists!$C$1:$C$3, RANDBETWEEN(1,3))</f>
        <v>Maintenance</v>
      </c>
      <c r="E67" s="16">
        <f t="shared" ca="1" si="1"/>
        <v>3580</v>
      </c>
      <c r="F67" s="16">
        <f t="shared" ca="1" si="2"/>
        <v>3600</v>
      </c>
      <c r="G67" s="16">
        <f t="shared" ca="1" si="10"/>
        <v>20</v>
      </c>
      <c r="H67" s="16">
        <f t="shared" ca="1" si="4"/>
        <v>3</v>
      </c>
      <c r="I67" s="16">
        <f t="shared" ca="1" si="5"/>
        <v>3.79</v>
      </c>
      <c r="J67" s="16">
        <f t="shared" ca="1" si="11"/>
        <v>11.370000000000001</v>
      </c>
      <c r="K67" s="15" t="str" cm="1">
        <f t="array" aca="1" ref="K67" ca="1">INDEX(Lists!$D$1:$D$4, RANDBETWEEN(1,4))</f>
        <v>Jose</v>
      </c>
      <c r="L67" s="16" t="str">
        <f t="shared" si="12"/>
        <v>2024-12</v>
      </c>
      <c r="M67" s="16">
        <f t="shared" si="13"/>
        <v>2024</v>
      </c>
      <c r="N67" s="17">
        <f t="shared" ca="1" si="14"/>
        <v>6.666666666666667</v>
      </c>
      <c r="O67" s="16" t="str">
        <f t="shared" ca="1" si="16"/>
        <v>Medium</v>
      </c>
    </row>
    <row r="68" spans="1:15">
      <c r="A68" s="14">
        <v>45632</v>
      </c>
      <c r="B68" s="15" t="str" cm="1">
        <f t="array" aca="1" ref="B68" ca="1">INDEX(Lists!$A$1:$A$6, RANDBETWEEN(1,6))</f>
        <v>Forklift</v>
      </c>
      <c r="C68" s="15" t="str">
        <f ca="1">_xlfn.XLOOKUP(B68, Lists!$A$1:$A$6, Lists!$B$1:$B$6)</f>
        <v>F7(217595AH)</v>
      </c>
      <c r="D68" s="15" t="str" cm="1">
        <f t="array" aca="1" ref="D68" ca="1">INDEX(Lists!$C$1:$C$3, RANDBETWEEN(1,3))</f>
        <v>Maintenance</v>
      </c>
      <c r="E68" s="16">
        <f t="shared" ca="1" si="1"/>
        <v>3956</v>
      </c>
      <c r="F68" s="16">
        <f t="shared" ca="1" si="2"/>
        <v>4005</v>
      </c>
      <c r="G68" s="16">
        <f t="shared" ca="1" si="10"/>
        <v>49</v>
      </c>
      <c r="H68" s="16">
        <f t="shared" ca="1" si="4"/>
        <v>8.5</v>
      </c>
      <c r="I68" s="16">
        <f t="shared" ca="1" si="5"/>
        <v>3.2</v>
      </c>
      <c r="J68" s="16">
        <f t="shared" ca="1" si="11"/>
        <v>27.200000000000003</v>
      </c>
      <c r="K68" s="15" t="str" cm="1">
        <f t="array" aca="1" ref="K68" ca="1">INDEX(Lists!$D$1:$D$4, RANDBETWEEN(1,4))</f>
        <v>Maria</v>
      </c>
      <c r="L68" s="16" t="str">
        <f t="shared" si="12"/>
        <v>2024-12</v>
      </c>
      <c r="M68" s="16">
        <f t="shared" si="13"/>
        <v>2024</v>
      </c>
      <c r="N68" s="17">
        <f t="shared" ca="1" si="14"/>
        <v>5.7647058823529411</v>
      </c>
      <c r="O68" s="16" t="str">
        <f t="shared" ca="1" si="16"/>
        <v>Medium</v>
      </c>
    </row>
    <row r="69" spans="1:15">
      <c r="A69" s="14">
        <v>45633</v>
      </c>
      <c r="B69" s="15" t="str" cm="1">
        <f t="array" aca="1" ref="B69" ca="1">INDEX(Lists!$A$1:$A$6, RANDBETWEEN(1,6))</f>
        <v>Mini Excavator</v>
      </c>
      <c r="C69" s="15" t="str">
        <f ca="1">_xlfn.XLOOKUP(B69, Lists!$A$1:$A$6, Lists!$B$1:$B$6)</f>
        <v>ME6(10682709)</v>
      </c>
      <c r="D69" s="15" t="str" cm="1">
        <f t="array" aca="1" ref="D69" ca="1">INDEX(Lists!$C$1:$C$3, RANDBETWEEN(1,3))</f>
        <v>Yard</v>
      </c>
      <c r="E69" s="16">
        <f t="shared" ca="1" si="1"/>
        <v>758</v>
      </c>
      <c r="F69" s="16">
        <f t="shared" ca="1" si="2"/>
        <v>837</v>
      </c>
      <c r="G69" s="16">
        <f t="shared" ca="1" si="10"/>
        <v>79</v>
      </c>
      <c r="H69" s="16">
        <f t="shared" ca="1" si="4"/>
        <v>11.5</v>
      </c>
      <c r="I69" s="16">
        <f t="shared" ca="1" si="5"/>
        <v>3.71</v>
      </c>
      <c r="J69" s="16">
        <f t="shared" ca="1" si="11"/>
        <v>42.664999999999999</v>
      </c>
      <c r="K69" s="15" t="str" cm="1">
        <f t="array" aca="1" ref="K69" ca="1">INDEX(Lists!$D$1:$D$4, RANDBETWEEN(1,4))</f>
        <v>Ravi</v>
      </c>
      <c r="L69" s="16" t="str">
        <f t="shared" si="12"/>
        <v>2024-12</v>
      </c>
      <c r="M69" s="16">
        <f t="shared" si="13"/>
        <v>2024</v>
      </c>
      <c r="N69" s="17">
        <f t="shared" ca="1" si="14"/>
        <v>6.8695652173913047</v>
      </c>
      <c r="O69" s="16" t="str">
        <f t="shared" ca="1" si="16"/>
        <v>Long</v>
      </c>
    </row>
    <row r="70" spans="1:15">
      <c r="A70" s="14">
        <v>45634</v>
      </c>
      <c r="B70" s="15" t="str" cm="1">
        <f t="array" aca="1" ref="B70" ca="1">INDEX(Lists!$A$1:$A$6, RANDBETWEEN(1,6))</f>
        <v>Welding Machine</v>
      </c>
      <c r="C70" s="15" t="str">
        <f ca="1">_xlfn.XLOOKUP(B70, Lists!$A$1:$A$6, Lists!$B$1:$B$6)</f>
        <v>WM12(WD5-000729)</v>
      </c>
      <c r="D70" s="15" t="str" cm="1">
        <f t="array" aca="1" ref="D70" ca="1">INDEX(Lists!$C$1:$C$3, RANDBETWEEN(1,3))</f>
        <v>Yard</v>
      </c>
      <c r="E70" s="16">
        <f t="shared" ca="1" si="1"/>
        <v>831</v>
      </c>
      <c r="F70" s="16">
        <f t="shared" ca="1" si="2"/>
        <v>867</v>
      </c>
      <c r="G70" s="16">
        <f t="shared" ca="1" si="10"/>
        <v>36</v>
      </c>
      <c r="H70" s="16">
        <f t="shared" ca="1" si="4"/>
        <v>6.5</v>
      </c>
      <c r="I70" s="16">
        <f t="shared" ca="1" si="5"/>
        <v>3.8</v>
      </c>
      <c r="J70" s="16">
        <f t="shared" ca="1" si="11"/>
        <v>24.7</v>
      </c>
      <c r="K70" s="15" t="str" cm="1">
        <f t="array" aca="1" ref="K70" ca="1">INDEX(Lists!$D$1:$D$4, RANDBETWEEN(1,4))</f>
        <v>Ahmed</v>
      </c>
      <c r="L70" s="16" t="str">
        <f t="shared" si="12"/>
        <v>2024-12</v>
      </c>
      <c r="M70" s="16">
        <f t="shared" si="13"/>
        <v>2024</v>
      </c>
      <c r="N70" s="17">
        <f t="shared" ca="1" si="14"/>
        <v>5.5384615384615383</v>
      </c>
      <c r="O70" s="16" t="str">
        <f t="shared" ca="1" si="16"/>
        <v>Medium</v>
      </c>
    </row>
    <row r="71" spans="1:15">
      <c r="A71" s="14">
        <v>45635</v>
      </c>
      <c r="B71" s="15" t="str" cm="1">
        <f t="array" aca="1" ref="B71" ca="1">INDEX(Lists!$A$1:$A$6, RANDBETWEEN(1,6))</f>
        <v>Forklift</v>
      </c>
      <c r="C71" s="15" t="str">
        <f ca="1">_xlfn.XLOOKUP(B71, Lists!$A$1:$A$6, Lists!$B$1:$B$6)</f>
        <v>F7(217595AH)</v>
      </c>
      <c r="D71" s="15" t="str" cm="1">
        <f t="array" aca="1" ref="D71" ca="1">INDEX(Lists!$C$1:$C$3, RANDBETWEEN(1,3))</f>
        <v>Maintenance</v>
      </c>
      <c r="E71" s="16">
        <f t="shared" ca="1" si="1"/>
        <v>505</v>
      </c>
      <c r="F71" s="16">
        <f t="shared" ca="1" si="2"/>
        <v>564</v>
      </c>
      <c r="G71" s="16">
        <f t="shared" ca="1" si="10"/>
        <v>59</v>
      </c>
      <c r="H71" s="16">
        <f t="shared" ca="1" si="4"/>
        <v>7.5</v>
      </c>
      <c r="I71" s="16">
        <f t="shared" ca="1" si="5"/>
        <v>3.38</v>
      </c>
      <c r="J71" s="16">
        <f t="shared" ca="1" si="11"/>
        <v>25.349999999999998</v>
      </c>
      <c r="K71" s="15" t="str" cm="1">
        <f t="array" aca="1" ref="K71" ca="1">INDEX(Lists!$D$1:$D$4, RANDBETWEEN(1,4))</f>
        <v>Jose</v>
      </c>
      <c r="L71" s="16" t="str">
        <f t="shared" si="12"/>
        <v>2024-12</v>
      </c>
      <c r="M71" s="16">
        <f t="shared" si="13"/>
        <v>2024</v>
      </c>
      <c r="N71" s="17">
        <f t="shared" ca="1" si="14"/>
        <v>7.8666666666666663</v>
      </c>
      <c r="O71" s="16" t="str">
        <f t="shared" ca="1" si="16"/>
        <v>Long</v>
      </c>
    </row>
    <row r="72" spans="1:15">
      <c r="A72" s="14">
        <v>45636</v>
      </c>
      <c r="B72" s="15" t="str" cm="1">
        <f t="array" aca="1" ref="B72" ca="1">INDEX(Lists!$A$1:$A$6, RANDBETWEEN(1,6))</f>
        <v>Boom Lift</v>
      </c>
      <c r="C72" s="15" t="str">
        <f ca="1">_xlfn.XLOOKUP(B72, Lists!$A$1:$A$6, Lists!$B$1:$B$6)</f>
        <v>BL8(1047802)</v>
      </c>
      <c r="D72" s="15" t="str" cm="1">
        <f t="array" aca="1" ref="D72" ca="1">INDEX(Lists!$C$1:$C$3, RANDBETWEEN(1,3))</f>
        <v>Maintenance</v>
      </c>
      <c r="E72" s="16">
        <f t="shared" ca="1" si="1"/>
        <v>1716</v>
      </c>
      <c r="F72" s="16">
        <f t="shared" ca="1" si="2"/>
        <v>1780</v>
      </c>
      <c r="G72" s="16">
        <f t="shared" ca="1" si="10"/>
        <v>64</v>
      </c>
      <c r="H72" s="16">
        <f t="shared" ca="1" si="4"/>
        <v>2.5</v>
      </c>
      <c r="I72" s="16">
        <f t="shared" ca="1" si="5"/>
        <v>3.22</v>
      </c>
      <c r="J72" s="16">
        <f t="shared" ca="1" si="11"/>
        <v>8.0500000000000007</v>
      </c>
      <c r="K72" s="15" t="str" cm="1">
        <f t="array" aca="1" ref="K72" ca="1">INDEX(Lists!$D$1:$D$4, RANDBETWEEN(1,4))</f>
        <v>Jose</v>
      </c>
      <c r="L72" s="16" t="str">
        <f t="shared" si="12"/>
        <v>2024-12</v>
      </c>
      <c r="M72" s="16">
        <f t="shared" si="13"/>
        <v>2024</v>
      </c>
      <c r="N72" s="17">
        <f t="shared" ca="1" si="14"/>
        <v>25.6</v>
      </c>
      <c r="O72" s="16" t="str">
        <f t="shared" ca="1" si="16"/>
        <v>Long</v>
      </c>
    </row>
    <row r="73" spans="1:15">
      <c r="A73" s="14">
        <v>45637</v>
      </c>
      <c r="B73" s="15" t="str" cm="1">
        <f t="array" aca="1" ref="B73" ca="1">INDEX(Lists!$A$1:$A$6, RANDBETWEEN(1,6))</f>
        <v>Mini Excavator</v>
      </c>
      <c r="C73" s="15" t="str">
        <f ca="1">_xlfn.XLOOKUP(B73, Lists!$A$1:$A$6, Lists!$B$1:$B$6)</f>
        <v>ME6(10682709)</v>
      </c>
      <c r="D73" s="15" t="str" cm="1">
        <f t="array" aca="1" ref="D73" ca="1">INDEX(Lists!$C$1:$C$3, RANDBETWEEN(1,3))</f>
        <v>Yard</v>
      </c>
      <c r="E73" s="16">
        <f t="shared" ca="1" si="1"/>
        <v>1313</v>
      </c>
      <c r="F73" s="16">
        <f t="shared" ca="1" si="2"/>
        <v>1368</v>
      </c>
      <c r="G73" s="16">
        <f t="shared" ca="1" si="10"/>
        <v>55</v>
      </c>
      <c r="H73" s="16">
        <f t="shared" ca="1" si="4"/>
        <v>9</v>
      </c>
      <c r="I73" s="16">
        <f t="shared" ca="1" si="5"/>
        <v>3.65</v>
      </c>
      <c r="J73" s="16">
        <f t="shared" ca="1" si="11"/>
        <v>32.85</v>
      </c>
      <c r="K73" s="15" t="str" cm="1">
        <f t="array" aca="1" ref="K73" ca="1">INDEX(Lists!$D$1:$D$4, RANDBETWEEN(1,4))</f>
        <v>Maria</v>
      </c>
      <c r="L73" s="16" t="str">
        <f t="shared" si="12"/>
        <v>2024-12</v>
      </c>
      <c r="M73" s="16">
        <f t="shared" si="13"/>
        <v>2024</v>
      </c>
      <c r="N73" s="17">
        <f t="shared" ca="1" si="14"/>
        <v>6.1111111111111107</v>
      </c>
      <c r="O73" s="16" t="str">
        <f t="shared" ca="1" si="16"/>
        <v>Long</v>
      </c>
    </row>
    <row r="74" spans="1:15">
      <c r="A74" s="14">
        <v>45638</v>
      </c>
      <c r="B74" s="15" t="str" cm="1">
        <f t="array" aca="1" ref="B74" ca="1">INDEX(Lists!$A$1:$A$6, RANDBETWEEN(1,6))</f>
        <v>Welding Machine</v>
      </c>
      <c r="C74" s="15" t="str">
        <f ca="1">_xlfn.XLOOKUP(B74, Lists!$A$1:$A$6, Lists!$B$1:$B$6)</f>
        <v>WM12(WD5-000729)</v>
      </c>
      <c r="D74" s="15" t="str" cm="1">
        <f t="array" aca="1" ref="D74" ca="1">INDEX(Lists!$C$1:$C$3, RANDBETWEEN(1,3))</f>
        <v>Yard</v>
      </c>
      <c r="E74" s="16">
        <f t="shared" ca="1" si="1"/>
        <v>1267</v>
      </c>
      <c r="F74" s="16">
        <f t="shared" ca="1" si="2"/>
        <v>1327</v>
      </c>
      <c r="G74" s="16">
        <f t="shared" ca="1" si="10"/>
        <v>60</v>
      </c>
      <c r="H74" s="16">
        <f t="shared" ca="1" si="4"/>
        <v>4</v>
      </c>
      <c r="I74" s="16">
        <f t="shared" ca="1" si="5"/>
        <v>3.36</v>
      </c>
      <c r="J74" s="16">
        <f t="shared" ca="1" si="11"/>
        <v>13.44</v>
      </c>
      <c r="K74" s="15" t="str" cm="1">
        <f t="array" aca="1" ref="K74" ca="1">INDEX(Lists!$D$1:$D$4, RANDBETWEEN(1,4))</f>
        <v>Jose</v>
      </c>
      <c r="L74" s="16" t="str">
        <f t="shared" si="12"/>
        <v>2024-12</v>
      </c>
      <c r="M74" s="16">
        <f t="shared" si="13"/>
        <v>2024</v>
      </c>
      <c r="N74" s="17">
        <f t="shared" ca="1" si="14"/>
        <v>15</v>
      </c>
      <c r="O74" s="16" t="str">
        <f t="shared" ca="1" si="16"/>
        <v>Long</v>
      </c>
    </row>
    <row r="75" spans="1:15">
      <c r="A75" s="14">
        <v>45639</v>
      </c>
      <c r="B75" s="15" t="str" cm="1">
        <f t="array" aca="1" ref="B75" ca="1">INDEX(Lists!$A$1:$A$6, RANDBETWEEN(1,6))</f>
        <v>Bobcat</v>
      </c>
      <c r="C75" s="15" t="str">
        <f ca="1">_xlfn.XLOOKUP(B75, Lists!$A$1:$A$6, Lists!$B$1:$B$6)</f>
        <v>BC1(10931016)</v>
      </c>
      <c r="D75" s="15" t="str" cm="1">
        <f t="array" aca="1" ref="D75" ca="1">INDEX(Lists!$C$1:$C$3, RANDBETWEEN(1,3))</f>
        <v>Maintenance</v>
      </c>
      <c r="E75" s="16">
        <f t="shared" ca="1" si="1"/>
        <v>2832</v>
      </c>
      <c r="F75" s="16">
        <f t="shared" ca="1" si="2"/>
        <v>2873</v>
      </c>
      <c r="G75" s="16">
        <f t="shared" ca="1" si="10"/>
        <v>41</v>
      </c>
      <c r="H75" s="16">
        <f t="shared" ca="1" si="4"/>
        <v>4</v>
      </c>
      <c r="I75" s="16">
        <f t="shared" ca="1" si="5"/>
        <v>3.23</v>
      </c>
      <c r="J75" s="16">
        <f t="shared" ca="1" si="11"/>
        <v>12.92</v>
      </c>
      <c r="K75" s="15" t="str" cm="1">
        <f t="array" aca="1" ref="K75" ca="1">INDEX(Lists!$D$1:$D$4, RANDBETWEEN(1,4))</f>
        <v>Jose</v>
      </c>
      <c r="L75" s="16" t="str">
        <f t="shared" si="12"/>
        <v>2024-12</v>
      </c>
      <c r="M75" s="16">
        <f t="shared" si="13"/>
        <v>2024</v>
      </c>
      <c r="N75" s="17">
        <f t="shared" ca="1" si="14"/>
        <v>10.25</v>
      </c>
      <c r="O75" s="16" t="str">
        <f t="shared" ca="1" si="16"/>
        <v>Medium</v>
      </c>
    </row>
    <row r="76" spans="1:15">
      <c r="A76" s="14">
        <v>45640</v>
      </c>
      <c r="B76" s="15" t="str" cm="1">
        <f t="array" aca="1" ref="B76" ca="1">INDEX(Lists!$A$1:$A$6, RANDBETWEEN(1,6))</f>
        <v>Mini Excavator</v>
      </c>
      <c r="C76" s="15" t="str">
        <f ca="1">_xlfn.XLOOKUP(B76, Lists!$A$1:$A$6, Lists!$B$1:$B$6)</f>
        <v>ME6(10682709)</v>
      </c>
      <c r="D76" s="15" t="str" cm="1">
        <f t="array" aca="1" ref="D76" ca="1">INDEX(Lists!$C$1:$C$3, RANDBETWEEN(1,3))</f>
        <v>Maintenance</v>
      </c>
      <c r="E76" s="16">
        <f t="shared" ca="1" si="1"/>
        <v>2284</v>
      </c>
      <c r="F76" s="16">
        <f t="shared" ca="1" si="2"/>
        <v>2336</v>
      </c>
      <c r="G76" s="16">
        <f t="shared" ca="1" si="10"/>
        <v>52</v>
      </c>
      <c r="H76" s="16">
        <f t="shared" ca="1" si="4"/>
        <v>6</v>
      </c>
      <c r="I76" s="16">
        <f t="shared" ca="1" si="5"/>
        <v>3.45</v>
      </c>
      <c r="J76" s="16">
        <f t="shared" ca="1" si="11"/>
        <v>20.700000000000003</v>
      </c>
      <c r="K76" s="15" t="str" cm="1">
        <f t="array" aca="1" ref="K76" ca="1">INDEX(Lists!$D$1:$D$4, RANDBETWEEN(1,4))</f>
        <v>Ahmed</v>
      </c>
      <c r="L76" s="16" t="str">
        <f t="shared" si="12"/>
        <v>2024-12</v>
      </c>
      <c r="M76" s="16">
        <f t="shared" si="13"/>
        <v>2024</v>
      </c>
      <c r="N76" s="17">
        <f t="shared" ca="1" si="14"/>
        <v>8.6666666666666661</v>
      </c>
      <c r="O76" s="16" t="str">
        <f t="shared" ca="1" si="16"/>
        <v>Long</v>
      </c>
    </row>
    <row r="77" spans="1:15">
      <c r="A77" s="14">
        <v>45641</v>
      </c>
      <c r="B77" s="15" t="str" cm="1">
        <f t="array" aca="1" ref="B77" ca="1">INDEX(Lists!$A$1:$A$6, RANDBETWEEN(1,6))</f>
        <v>Bobcat</v>
      </c>
      <c r="C77" s="15" t="str">
        <f ca="1">_xlfn.XLOOKUP(B77, Lists!$A$1:$A$6, Lists!$B$1:$B$6)</f>
        <v>BC1(10931016)</v>
      </c>
      <c r="D77" s="15" t="str" cm="1">
        <f t="array" aca="1" ref="D77" ca="1">INDEX(Lists!$C$1:$C$3, RANDBETWEEN(1,3))</f>
        <v>Yard</v>
      </c>
      <c r="E77" s="16">
        <f t="shared" ca="1" si="1"/>
        <v>2112</v>
      </c>
      <c r="F77" s="16">
        <f t="shared" ca="1" si="2"/>
        <v>2127</v>
      </c>
      <c r="G77" s="16">
        <f t="shared" ca="1" si="10"/>
        <v>15</v>
      </c>
      <c r="H77" s="16">
        <f t="shared" ca="1" si="4"/>
        <v>8</v>
      </c>
      <c r="I77" s="16">
        <f t="shared" ca="1" si="5"/>
        <v>3.43</v>
      </c>
      <c r="J77" s="16">
        <f t="shared" ca="1" si="11"/>
        <v>27.44</v>
      </c>
      <c r="K77" s="15" t="str" cm="1">
        <f t="array" aca="1" ref="K77" ca="1">INDEX(Lists!$D$1:$D$4, RANDBETWEEN(1,4))</f>
        <v>Jose</v>
      </c>
      <c r="L77" s="16" t="str">
        <f t="shared" si="12"/>
        <v>2024-12</v>
      </c>
      <c r="M77" s="16">
        <f t="shared" si="13"/>
        <v>2024</v>
      </c>
      <c r="N77" s="17">
        <f t="shared" ca="1" si="14"/>
        <v>1.875</v>
      </c>
      <c r="O77" s="16" t="str">
        <f t="shared" ca="1" si="16"/>
        <v>Short</v>
      </c>
    </row>
    <row r="78" spans="1:15">
      <c r="A78" s="14">
        <v>45642</v>
      </c>
      <c r="B78" s="15" t="str" cm="1">
        <f t="array" aca="1" ref="B78" ca="1">INDEX(Lists!$A$1:$A$6, RANDBETWEEN(1,6))</f>
        <v>Forklift</v>
      </c>
      <c r="C78" s="15" t="str">
        <f ca="1">_xlfn.XLOOKUP(B78, Lists!$A$1:$A$6, Lists!$B$1:$B$6)</f>
        <v>F7(217595AH)</v>
      </c>
      <c r="D78" s="15" t="str" cm="1">
        <f t="array" aca="1" ref="D78" ca="1">INDEX(Lists!$C$1:$C$3, RANDBETWEEN(1,3))</f>
        <v>Maintenance</v>
      </c>
      <c r="E78" s="16">
        <f t="shared" ca="1" si="1"/>
        <v>3299</v>
      </c>
      <c r="F78" s="16">
        <f t="shared" ca="1" si="2"/>
        <v>3352</v>
      </c>
      <c r="G78" s="16">
        <f t="shared" ca="1" si="10"/>
        <v>53</v>
      </c>
      <c r="H78" s="16">
        <f t="shared" ca="1" si="4"/>
        <v>9</v>
      </c>
      <c r="I78" s="16">
        <f t="shared" ca="1" si="5"/>
        <v>3.33</v>
      </c>
      <c r="J78" s="16">
        <f t="shared" ca="1" si="11"/>
        <v>29.97</v>
      </c>
      <c r="K78" s="15" t="str" cm="1">
        <f t="array" aca="1" ref="K78" ca="1">INDEX(Lists!$D$1:$D$4, RANDBETWEEN(1,4))</f>
        <v>Ravi</v>
      </c>
      <c r="L78" s="16" t="str">
        <f t="shared" si="12"/>
        <v>2024-12</v>
      </c>
      <c r="M78" s="16">
        <f t="shared" si="13"/>
        <v>2024</v>
      </c>
      <c r="N78" s="17">
        <f t="shared" ca="1" si="14"/>
        <v>5.8888888888888893</v>
      </c>
      <c r="O78" s="16" t="str">
        <f t="shared" ca="1" si="16"/>
        <v>Long</v>
      </c>
    </row>
    <row r="79" spans="1:15">
      <c r="A79" s="14">
        <v>45643</v>
      </c>
      <c r="B79" s="15" t="str" cm="1">
        <f t="array" aca="1" ref="B79" ca="1">INDEX(Lists!$A$1:$A$6, RANDBETWEEN(1,6))</f>
        <v>Bobcat</v>
      </c>
      <c r="C79" s="15" t="str">
        <f ca="1">_xlfn.XLOOKUP(B79, Lists!$A$1:$A$6, Lists!$B$1:$B$6)</f>
        <v>BC1(10931016)</v>
      </c>
      <c r="D79" s="15" t="str" cm="1">
        <f t="array" aca="1" ref="D79" ca="1">INDEX(Lists!$C$1:$C$3, RANDBETWEEN(1,3))</f>
        <v>Operations</v>
      </c>
      <c r="E79" s="16">
        <f t="shared" ca="1" si="1"/>
        <v>1167</v>
      </c>
      <c r="F79" s="16">
        <f t="shared" ca="1" si="2"/>
        <v>1207</v>
      </c>
      <c r="G79" s="16">
        <f t="shared" ca="1" si="10"/>
        <v>40</v>
      </c>
      <c r="H79" s="16">
        <f t="shared" ca="1" si="4"/>
        <v>12.5</v>
      </c>
      <c r="I79" s="16">
        <f t="shared" ca="1" si="5"/>
        <v>3.64</v>
      </c>
      <c r="J79" s="16">
        <f t="shared" ca="1" si="11"/>
        <v>45.5</v>
      </c>
      <c r="K79" s="15" t="str" cm="1">
        <f t="array" aca="1" ref="K79" ca="1">INDEX(Lists!$D$1:$D$4, RANDBETWEEN(1,4))</f>
        <v>Ravi</v>
      </c>
      <c r="L79" s="16" t="str">
        <f t="shared" si="12"/>
        <v>2024-12</v>
      </c>
      <c r="M79" s="16">
        <f t="shared" si="13"/>
        <v>2024</v>
      </c>
      <c r="N79" s="17">
        <f t="shared" ca="1" si="14"/>
        <v>3.2</v>
      </c>
      <c r="O79" s="16" t="str">
        <f t="shared" ca="1" si="16"/>
        <v>Medium</v>
      </c>
    </row>
    <row r="80" spans="1:15">
      <c r="A80" s="14">
        <v>45644</v>
      </c>
      <c r="B80" s="15" t="str" cm="1">
        <f t="array" aca="1" ref="B80" ca="1">INDEX(Lists!$A$1:$A$6, RANDBETWEEN(1,6))</f>
        <v>Forklift</v>
      </c>
      <c r="C80" s="15" t="str">
        <f ca="1">_xlfn.XLOOKUP(B80, Lists!$A$1:$A$6, Lists!$B$1:$B$6)</f>
        <v>F7(217595AH)</v>
      </c>
      <c r="D80" s="15" t="str" cm="1">
        <f t="array" aca="1" ref="D80" ca="1">INDEX(Lists!$C$1:$C$3, RANDBETWEEN(1,3))</f>
        <v>Operations</v>
      </c>
      <c r="E80" s="16">
        <f t="shared" ca="1" si="1"/>
        <v>4769</v>
      </c>
      <c r="F80" s="16">
        <f t="shared" ca="1" si="2"/>
        <v>4813</v>
      </c>
      <c r="G80" s="16">
        <f t="shared" ca="1" si="10"/>
        <v>44</v>
      </c>
      <c r="H80" s="16">
        <f t="shared" ca="1" si="4"/>
        <v>5.5</v>
      </c>
      <c r="I80" s="16">
        <f t="shared" ca="1" si="5"/>
        <v>3.64</v>
      </c>
      <c r="J80" s="16">
        <f t="shared" ca="1" si="11"/>
        <v>20.02</v>
      </c>
      <c r="K80" s="15" t="str" cm="1">
        <f t="array" aca="1" ref="K80" ca="1">INDEX(Lists!$D$1:$D$4, RANDBETWEEN(1,4))</f>
        <v>Ravi</v>
      </c>
      <c r="L80" s="16" t="str">
        <f t="shared" si="12"/>
        <v>2024-12</v>
      </c>
      <c r="M80" s="16">
        <f t="shared" si="13"/>
        <v>2024</v>
      </c>
      <c r="N80" s="17">
        <f t="shared" ca="1" si="14"/>
        <v>8</v>
      </c>
      <c r="O80" s="16" t="str">
        <f t="shared" ca="1" si="16"/>
        <v>Medium</v>
      </c>
    </row>
    <row r="81" spans="1:15">
      <c r="A81" s="14">
        <v>45645</v>
      </c>
      <c r="B81" s="15" t="str" cm="1">
        <f t="array" aca="1" ref="B81" ca="1">INDEX(Lists!$A$1:$A$6, RANDBETWEEN(1,6))</f>
        <v>Boom Lift</v>
      </c>
      <c r="C81" s="15" t="str">
        <f ca="1">_xlfn.XLOOKUP(B81, Lists!$A$1:$A$6, Lists!$B$1:$B$6)</f>
        <v>BL8(1047802)</v>
      </c>
      <c r="D81" s="15" t="str" cm="1">
        <f t="array" aca="1" ref="D81" ca="1">INDEX(Lists!$C$1:$C$3, RANDBETWEEN(1,3))</f>
        <v>Operations</v>
      </c>
      <c r="E81" s="16">
        <f t="shared" ca="1" si="1"/>
        <v>1683</v>
      </c>
      <c r="F81" s="16">
        <f t="shared" ca="1" si="2"/>
        <v>1734</v>
      </c>
      <c r="G81" s="16">
        <f t="shared" ca="1" si="10"/>
        <v>51</v>
      </c>
      <c r="H81" s="16">
        <f t="shared" ca="1" si="4"/>
        <v>7.5</v>
      </c>
      <c r="I81" s="16">
        <f t="shared" ca="1" si="5"/>
        <v>3.49</v>
      </c>
      <c r="J81" s="16">
        <f t="shared" ca="1" si="11"/>
        <v>26.175000000000001</v>
      </c>
      <c r="K81" s="15" t="str" cm="1">
        <f t="array" aca="1" ref="K81" ca="1">INDEX(Lists!$D$1:$D$4, RANDBETWEEN(1,4))</f>
        <v>Ravi</v>
      </c>
      <c r="L81" s="16" t="str">
        <f t="shared" si="12"/>
        <v>2024-12</v>
      </c>
      <c r="M81" s="16">
        <f t="shared" si="13"/>
        <v>2024</v>
      </c>
      <c r="N81" s="17">
        <f t="shared" ca="1" si="14"/>
        <v>6.8</v>
      </c>
      <c r="O81" s="16" t="str">
        <f t="shared" ca="1" si="16"/>
        <v>Long</v>
      </c>
    </row>
    <row r="82" spans="1:15">
      <c r="A82" s="14">
        <v>45646</v>
      </c>
      <c r="B82" s="15" t="str" cm="1">
        <f t="array" aca="1" ref="B82" ca="1">INDEX(Lists!$A$1:$A$6, RANDBETWEEN(1,6))</f>
        <v>Bobcat</v>
      </c>
      <c r="C82" s="15" t="str">
        <f ca="1">_xlfn.XLOOKUP(B82, Lists!$A$1:$A$6, Lists!$B$1:$B$6)</f>
        <v>BC1(10931016)</v>
      </c>
      <c r="D82" s="15" t="str" cm="1">
        <f t="array" aca="1" ref="D82" ca="1">INDEX(Lists!$C$1:$C$3, RANDBETWEEN(1,3))</f>
        <v>Yard</v>
      </c>
      <c r="E82" s="16">
        <f t="shared" ca="1" si="1"/>
        <v>4084</v>
      </c>
      <c r="F82" s="16">
        <f t="shared" ca="1" si="2"/>
        <v>4133</v>
      </c>
      <c r="G82" s="16">
        <f t="shared" ca="1" si="10"/>
        <v>49</v>
      </c>
      <c r="H82" s="16">
        <f t="shared" ca="1" si="4"/>
        <v>4.5</v>
      </c>
      <c r="I82" s="16">
        <f t="shared" ca="1" si="5"/>
        <v>3.46</v>
      </c>
      <c r="J82" s="16">
        <f t="shared" ca="1" si="11"/>
        <v>15.57</v>
      </c>
      <c r="K82" s="15" t="str" cm="1">
        <f t="array" aca="1" ref="K82" ca="1">INDEX(Lists!$D$1:$D$4, RANDBETWEEN(1,4))</f>
        <v>Ahmed</v>
      </c>
      <c r="L82" s="16" t="str">
        <f t="shared" si="12"/>
        <v>2024-12</v>
      </c>
      <c r="M82" s="16">
        <f t="shared" si="13"/>
        <v>2024</v>
      </c>
      <c r="N82" s="17">
        <f t="shared" ca="1" si="14"/>
        <v>10.888888888888889</v>
      </c>
      <c r="O82" s="16" t="str">
        <f t="shared" ca="1" si="16"/>
        <v>Medium</v>
      </c>
    </row>
    <row r="83" spans="1:15">
      <c r="A83" s="14">
        <v>45647</v>
      </c>
      <c r="B83" s="15" t="str" cm="1">
        <f t="array" aca="1" ref="B83" ca="1">INDEX(Lists!$A$1:$A$6, RANDBETWEEN(1,6))</f>
        <v>Bobcat</v>
      </c>
      <c r="C83" s="15" t="str">
        <f ca="1">_xlfn.XLOOKUP(B83, Lists!$A$1:$A$6, Lists!$B$1:$B$6)</f>
        <v>BC1(10931016)</v>
      </c>
      <c r="D83" s="15" t="str" cm="1">
        <f t="array" aca="1" ref="D83" ca="1">INDEX(Lists!$C$1:$C$3, RANDBETWEEN(1,3))</f>
        <v>Operations</v>
      </c>
      <c r="E83" s="16">
        <f t="shared" ca="1" si="1"/>
        <v>2159</v>
      </c>
      <c r="F83" s="16">
        <f t="shared" ca="1" si="2"/>
        <v>2166</v>
      </c>
      <c r="G83" s="16">
        <f t="shared" ca="1" si="10"/>
        <v>7</v>
      </c>
      <c r="H83" s="16">
        <f t="shared" ca="1" si="4"/>
        <v>6.5</v>
      </c>
      <c r="I83" s="16">
        <f t="shared" ca="1" si="5"/>
        <v>3.66</v>
      </c>
      <c r="J83" s="16">
        <f t="shared" ca="1" si="11"/>
        <v>23.79</v>
      </c>
      <c r="K83" s="15" t="str" cm="1">
        <f t="array" aca="1" ref="K83" ca="1">INDEX(Lists!$D$1:$D$4, RANDBETWEEN(1,4))</f>
        <v>Jose</v>
      </c>
      <c r="L83" s="16" t="str">
        <f t="shared" si="12"/>
        <v>2024-12</v>
      </c>
      <c r="M83" s="16">
        <f t="shared" si="13"/>
        <v>2024</v>
      </c>
      <c r="N83" s="17">
        <f t="shared" ca="1" si="14"/>
        <v>1.0769230769230769</v>
      </c>
      <c r="O83" s="16" t="str">
        <f t="shared" ca="1" si="16"/>
        <v>Short</v>
      </c>
    </row>
    <row r="84" spans="1:15">
      <c r="A84" s="14">
        <v>45648</v>
      </c>
      <c r="B84" s="15" t="str" cm="1">
        <f t="array" aca="1" ref="B84" ca="1">INDEX(Lists!$A$1:$A$6, RANDBETWEEN(1,6))</f>
        <v>Mini Excavator</v>
      </c>
      <c r="C84" s="15" t="str">
        <f ca="1">_xlfn.XLOOKUP(B84, Lists!$A$1:$A$6, Lists!$B$1:$B$6)</f>
        <v>ME6(10682709)</v>
      </c>
      <c r="D84" s="15" t="str" cm="1">
        <f t="array" aca="1" ref="D84" ca="1">INDEX(Lists!$C$1:$C$3, RANDBETWEEN(1,3))</f>
        <v>Operations</v>
      </c>
      <c r="E84" s="16">
        <f t="shared" ca="1" si="1"/>
        <v>4420</v>
      </c>
      <c r="F84" s="16">
        <f t="shared" ca="1" si="2"/>
        <v>4494</v>
      </c>
      <c r="G84" s="16">
        <f t="shared" ca="1" si="10"/>
        <v>74</v>
      </c>
      <c r="H84" s="16">
        <f t="shared" ca="1" si="4"/>
        <v>11</v>
      </c>
      <c r="I84" s="16">
        <f t="shared" ca="1" si="5"/>
        <v>3.48</v>
      </c>
      <c r="J84" s="16">
        <f t="shared" ca="1" si="11"/>
        <v>38.28</v>
      </c>
      <c r="K84" s="15" t="str" cm="1">
        <f t="array" aca="1" ref="K84" ca="1">INDEX(Lists!$D$1:$D$4, RANDBETWEEN(1,4))</f>
        <v>Maria</v>
      </c>
      <c r="L84" s="16" t="str">
        <f t="shared" si="12"/>
        <v>2024-12</v>
      </c>
      <c r="M84" s="16">
        <f t="shared" si="13"/>
        <v>2024</v>
      </c>
      <c r="N84" s="17">
        <f t="shared" ca="1" si="14"/>
        <v>6.7272727272727275</v>
      </c>
      <c r="O84" s="16" t="str">
        <f t="shared" ca="1" si="16"/>
        <v>Long</v>
      </c>
    </row>
    <row r="85" spans="1:15">
      <c r="A85" s="14">
        <v>45649</v>
      </c>
      <c r="B85" s="15" t="str" cm="1">
        <f t="array" aca="1" ref="B85" ca="1">INDEX(Lists!$A$1:$A$6, RANDBETWEEN(1,6))</f>
        <v>Forklift</v>
      </c>
      <c r="C85" s="15" t="str">
        <f ca="1">_xlfn.XLOOKUP(B85, Lists!$A$1:$A$6, Lists!$B$1:$B$6)</f>
        <v>F7(217595AH)</v>
      </c>
      <c r="D85" s="15" t="str" cm="1">
        <f t="array" aca="1" ref="D85" ca="1">INDEX(Lists!$C$1:$C$3, RANDBETWEEN(1,3))</f>
        <v>Yard</v>
      </c>
      <c r="E85" s="16">
        <f t="shared" ca="1" si="1"/>
        <v>2545</v>
      </c>
      <c r="F85" s="16">
        <f t="shared" ca="1" si="2"/>
        <v>2600</v>
      </c>
      <c r="G85" s="16">
        <f t="shared" ca="1" si="10"/>
        <v>55</v>
      </c>
      <c r="H85" s="16">
        <f t="shared" ca="1" si="4"/>
        <v>4.5</v>
      </c>
      <c r="I85" s="16">
        <f t="shared" ca="1" si="5"/>
        <v>3.44</v>
      </c>
      <c r="J85" s="16">
        <f t="shared" ca="1" si="11"/>
        <v>15.48</v>
      </c>
      <c r="K85" s="15" t="str" cm="1">
        <f t="array" aca="1" ref="K85" ca="1">INDEX(Lists!$D$1:$D$4, RANDBETWEEN(1,4))</f>
        <v>Maria</v>
      </c>
      <c r="L85" s="16" t="str">
        <f t="shared" si="12"/>
        <v>2024-12</v>
      </c>
      <c r="M85" s="16">
        <f t="shared" si="13"/>
        <v>2024</v>
      </c>
      <c r="N85" s="17">
        <f t="shared" ca="1" si="14"/>
        <v>12.222222222222221</v>
      </c>
      <c r="O85" s="16" t="str">
        <f t="shared" ca="1" si="16"/>
        <v>Long</v>
      </c>
    </row>
    <row r="86" spans="1:15">
      <c r="A86" s="14">
        <v>45650</v>
      </c>
      <c r="B86" s="15" t="str" cm="1">
        <f t="array" aca="1" ref="B86" ca="1">INDEX(Lists!$A$1:$A$6, RANDBETWEEN(1,6))</f>
        <v>Welding Machine</v>
      </c>
      <c r="C86" s="15" t="str">
        <f ca="1">_xlfn.XLOOKUP(B86, Lists!$A$1:$A$6, Lists!$B$1:$B$6)</f>
        <v>WM12(WD5-000729)</v>
      </c>
      <c r="D86" s="15" t="str" cm="1">
        <f t="array" aca="1" ref="D86" ca="1">INDEX(Lists!$C$1:$C$3, RANDBETWEEN(1,3))</f>
        <v>Yard</v>
      </c>
      <c r="E86" s="16">
        <f t="shared" ca="1" si="1"/>
        <v>1829</v>
      </c>
      <c r="F86" s="16">
        <f t="shared" ca="1" si="2"/>
        <v>1891</v>
      </c>
      <c r="G86" s="16">
        <f t="shared" ca="1" si="10"/>
        <v>62</v>
      </c>
      <c r="H86" s="16">
        <f t="shared" ca="1" si="4"/>
        <v>9.5</v>
      </c>
      <c r="I86" s="16">
        <f t="shared" ca="1" si="5"/>
        <v>3.72</v>
      </c>
      <c r="J86" s="16">
        <f t="shared" ca="1" si="11"/>
        <v>35.340000000000003</v>
      </c>
      <c r="K86" s="15" t="str" cm="1">
        <f t="array" aca="1" ref="K86" ca="1">INDEX(Lists!$D$1:$D$4, RANDBETWEEN(1,4))</f>
        <v>Jose</v>
      </c>
      <c r="L86" s="16" t="str">
        <f t="shared" si="12"/>
        <v>2024-12</v>
      </c>
      <c r="M86" s="16">
        <f t="shared" si="13"/>
        <v>2024</v>
      </c>
      <c r="N86" s="17">
        <f t="shared" ca="1" si="14"/>
        <v>6.5263157894736841</v>
      </c>
      <c r="O86" s="16" t="str">
        <f t="shared" ca="1" si="16"/>
        <v>Long</v>
      </c>
    </row>
    <row r="87" spans="1:15">
      <c r="A87" s="14">
        <v>45651</v>
      </c>
      <c r="B87" s="15" t="str" cm="1">
        <f t="array" aca="1" ref="B87" ca="1">INDEX(Lists!$A$1:$A$6, RANDBETWEEN(1,6))</f>
        <v>Forklift</v>
      </c>
      <c r="C87" s="15" t="str">
        <f ca="1">_xlfn.XLOOKUP(B87, Lists!$A$1:$A$6, Lists!$B$1:$B$6)</f>
        <v>F7(217595AH)</v>
      </c>
      <c r="D87" s="15" t="str" cm="1">
        <f t="array" aca="1" ref="D87" ca="1">INDEX(Lists!$C$1:$C$3, RANDBETWEEN(1,3))</f>
        <v>Maintenance</v>
      </c>
      <c r="E87" s="16">
        <f t="shared" ca="1" si="1"/>
        <v>3482</v>
      </c>
      <c r="F87" s="16">
        <f t="shared" ca="1" si="2"/>
        <v>3514</v>
      </c>
      <c r="G87" s="16">
        <f t="shared" ca="1" si="10"/>
        <v>32</v>
      </c>
      <c r="H87" s="16">
        <f t="shared" ca="1" si="4"/>
        <v>7</v>
      </c>
      <c r="I87" s="16">
        <f t="shared" ca="1" si="5"/>
        <v>3.69</v>
      </c>
      <c r="J87" s="16">
        <f t="shared" ca="1" si="11"/>
        <v>25.83</v>
      </c>
      <c r="K87" s="15" t="str" cm="1">
        <f t="array" aca="1" ref="K87" ca="1">INDEX(Lists!$D$1:$D$4, RANDBETWEEN(1,4))</f>
        <v>Ahmed</v>
      </c>
      <c r="L87" s="16" t="str">
        <f t="shared" si="12"/>
        <v>2024-12</v>
      </c>
      <c r="M87" s="16">
        <f t="shared" si="13"/>
        <v>2024</v>
      </c>
      <c r="N87" s="17">
        <f t="shared" ca="1" si="14"/>
        <v>4.5714285714285712</v>
      </c>
      <c r="O87" s="16" t="str">
        <f t="shared" ca="1" si="16"/>
        <v>Medium</v>
      </c>
    </row>
    <row r="88" spans="1:15">
      <c r="A88" s="14">
        <v>45652</v>
      </c>
      <c r="B88" s="15" t="str" cm="1">
        <f t="array" aca="1" ref="B88" ca="1">INDEX(Lists!$A$1:$A$6, RANDBETWEEN(1,6))</f>
        <v>Forklift</v>
      </c>
      <c r="C88" s="15" t="str">
        <f ca="1">_xlfn.XLOOKUP(B88, Lists!$A$1:$A$6, Lists!$B$1:$B$6)</f>
        <v>F7(217595AH)</v>
      </c>
      <c r="D88" s="15" t="str" cm="1">
        <f t="array" aca="1" ref="D88" ca="1">INDEX(Lists!$C$1:$C$3, RANDBETWEEN(1,3))</f>
        <v>Yard</v>
      </c>
      <c r="E88" s="16">
        <f t="shared" ca="1" si="1"/>
        <v>765</v>
      </c>
      <c r="F88" s="16">
        <f t="shared" ca="1" si="2"/>
        <v>777</v>
      </c>
      <c r="G88" s="16">
        <f t="shared" ca="1" si="10"/>
        <v>12</v>
      </c>
      <c r="H88" s="16">
        <f t="shared" ca="1" si="4"/>
        <v>9.5</v>
      </c>
      <c r="I88" s="16">
        <f t="shared" ca="1" si="5"/>
        <v>3.75</v>
      </c>
      <c r="J88" s="16">
        <f t="shared" ca="1" si="11"/>
        <v>35.625</v>
      </c>
      <c r="K88" s="15" t="str" cm="1">
        <f t="array" aca="1" ref="K88" ca="1">INDEX(Lists!$D$1:$D$4, RANDBETWEEN(1,4))</f>
        <v>Maria</v>
      </c>
      <c r="L88" s="16" t="str">
        <f t="shared" si="12"/>
        <v>2024-12</v>
      </c>
      <c r="M88" s="16">
        <f t="shared" si="13"/>
        <v>2024</v>
      </c>
      <c r="N88" s="17">
        <f t="shared" ca="1" si="14"/>
        <v>1.263157894736842</v>
      </c>
      <c r="O88" s="16" t="str">
        <f t="shared" ca="1" si="16"/>
        <v>Short</v>
      </c>
    </row>
    <row r="89" spans="1:15">
      <c r="A89" s="14">
        <v>45653</v>
      </c>
      <c r="B89" s="15" t="str" cm="1">
        <f t="array" aca="1" ref="B89" ca="1">INDEX(Lists!$A$1:$A$6, RANDBETWEEN(1,6))</f>
        <v>Boom Lift</v>
      </c>
      <c r="C89" s="15" t="str">
        <f ca="1">_xlfn.XLOOKUP(B89, Lists!$A$1:$A$6, Lists!$B$1:$B$6)</f>
        <v>BL8(1047802)</v>
      </c>
      <c r="D89" s="15" t="str" cm="1">
        <f t="array" aca="1" ref="D89" ca="1">INDEX(Lists!$C$1:$C$3, RANDBETWEEN(1,3))</f>
        <v>Yard</v>
      </c>
      <c r="E89" s="16">
        <f t="shared" ca="1" si="1"/>
        <v>1183</v>
      </c>
      <c r="F89" s="16">
        <f t="shared" ca="1" si="2"/>
        <v>1208</v>
      </c>
      <c r="G89" s="16">
        <f t="shared" ca="1" si="10"/>
        <v>25</v>
      </c>
      <c r="H89" s="16">
        <f t="shared" ca="1" si="4"/>
        <v>11.5</v>
      </c>
      <c r="I89" s="16">
        <f t="shared" ca="1" si="5"/>
        <v>3.6</v>
      </c>
      <c r="J89" s="16">
        <f t="shared" ca="1" si="11"/>
        <v>41.4</v>
      </c>
      <c r="K89" s="15" t="str" cm="1">
        <f t="array" aca="1" ref="K89" ca="1">INDEX(Lists!$D$1:$D$4, RANDBETWEEN(1,4))</f>
        <v>Jose</v>
      </c>
      <c r="L89" s="16" t="str">
        <f t="shared" si="12"/>
        <v>2024-12</v>
      </c>
      <c r="M89" s="16">
        <f t="shared" si="13"/>
        <v>2024</v>
      </c>
      <c r="N89" s="17">
        <f t="shared" ca="1" si="14"/>
        <v>2.1739130434782608</v>
      </c>
      <c r="O89" s="16" t="str">
        <f t="shared" ca="1" si="16"/>
        <v>Medium</v>
      </c>
    </row>
    <row r="90" spans="1:15">
      <c r="A90" s="14">
        <v>45654</v>
      </c>
      <c r="B90" s="15" t="str" cm="1">
        <f t="array" aca="1" ref="B90" ca="1">INDEX(Lists!$A$1:$A$6, RANDBETWEEN(1,6))</f>
        <v>Front End Loader</v>
      </c>
      <c r="C90" s="15" t="str">
        <f ca="1">_xlfn.XLOOKUP(B90, Lists!$A$1:$A$6, Lists!$B$1:$B$6)</f>
        <v>FE1(10930360)</v>
      </c>
      <c r="D90" s="15" t="str" cm="1">
        <f t="array" aca="1" ref="D90" ca="1">INDEX(Lists!$C$1:$C$3, RANDBETWEEN(1,3))</f>
        <v>Yard</v>
      </c>
      <c r="E90" s="16">
        <f t="shared" ca="1" si="1"/>
        <v>4995</v>
      </c>
      <c r="F90" s="16">
        <f t="shared" ca="1" si="2"/>
        <v>5003</v>
      </c>
      <c r="G90" s="16">
        <f t="shared" ca="1" si="10"/>
        <v>8</v>
      </c>
      <c r="H90" s="16">
        <f t="shared" ca="1" si="4"/>
        <v>2.5</v>
      </c>
      <c r="I90" s="16">
        <f t="shared" ca="1" si="5"/>
        <v>3.59</v>
      </c>
      <c r="J90" s="16">
        <f t="shared" ca="1" si="11"/>
        <v>8.9749999999999996</v>
      </c>
      <c r="K90" s="15" t="str" cm="1">
        <f t="array" aca="1" ref="K90" ca="1">INDEX(Lists!$D$1:$D$4, RANDBETWEEN(1,4))</f>
        <v>Maria</v>
      </c>
      <c r="L90" s="16" t="str">
        <f t="shared" si="12"/>
        <v>2024-12</v>
      </c>
      <c r="M90" s="16">
        <f t="shared" si="13"/>
        <v>2024</v>
      </c>
      <c r="N90" s="17">
        <f t="shared" ca="1" si="14"/>
        <v>3.2</v>
      </c>
      <c r="O90" s="16" t="str">
        <f t="shared" ca="1" si="16"/>
        <v>Short</v>
      </c>
    </row>
    <row r="91" spans="1:15">
      <c r="A91" s="14">
        <v>45655</v>
      </c>
      <c r="B91" s="15" t="str" cm="1">
        <f t="array" aca="1" ref="B91" ca="1">INDEX(Lists!$A$1:$A$6, RANDBETWEEN(1,6))</f>
        <v>Boom Lift</v>
      </c>
      <c r="C91" s="15" t="str">
        <f ca="1">_xlfn.XLOOKUP(B91, Lists!$A$1:$A$6, Lists!$B$1:$B$6)</f>
        <v>BL8(1047802)</v>
      </c>
      <c r="D91" s="15" t="str" cm="1">
        <f t="array" aca="1" ref="D91" ca="1">INDEX(Lists!$C$1:$C$3, RANDBETWEEN(1,3))</f>
        <v>Operations</v>
      </c>
      <c r="E91" s="16">
        <f t="shared" ca="1" si="1"/>
        <v>943</v>
      </c>
      <c r="F91" s="16">
        <f t="shared" ca="1" si="2"/>
        <v>974</v>
      </c>
      <c r="G91" s="16">
        <f t="shared" ca="1" si="10"/>
        <v>31</v>
      </c>
      <c r="H91" s="16">
        <f t="shared" ca="1" si="4"/>
        <v>8.5</v>
      </c>
      <c r="I91" s="16">
        <f t="shared" ca="1" si="5"/>
        <v>3.22</v>
      </c>
      <c r="J91" s="16">
        <f t="shared" ca="1" si="11"/>
        <v>27.37</v>
      </c>
      <c r="K91" s="15" t="str" cm="1">
        <f t="array" aca="1" ref="K91" ca="1">INDEX(Lists!$D$1:$D$4, RANDBETWEEN(1,4))</f>
        <v>Ahmed</v>
      </c>
      <c r="L91" s="16" t="str">
        <f t="shared" si="12"/>
        <v>2024-12</v>
      </c>
      <c r="M91" s="16">
        <f t="shared" si="13"/>
        <v>2024</v>
      </c>
      <c r="N91" s="17">
        <f t="shared" ca="1" si="14"/>
        <v>3.6470588235294117</v>
      </c>
      <c r="O91" s="16" t="str">
        <f t="shared" ca="1" si="16"/>
        <v>Medium</v>
      </c>
    </row>
    <row r="92" spans="1:15">
      <c r="A92" s="14">
        <v>45656</v>
      </c>
      <c r="B92" s="15" t="str" cm="1">
        <f t="array" aca="1" ref="B92" ca="1">INDEX(Lists!$A$1:$A$6, RANDBETWEEN(1,6))</f>
        <v>Mini Excavator</v>
      </c>
      <c r="C92" s="15" t="str">
        <f ca="1">_xlfn.XLOOKUP(B92, Lists!$A$1:$A$6, Lists!$B$1:$B$6)</f>
        <v>ME6(10682709)</v>
      </c>
      <c r="D92" s="15" t="str" cm="1">
        <f t="array" aca="1" ref="D92" ca="1">INDEX(Lists!$C$1:$C$3, RANDBETWEEN(1,3))</f>
        <v>Maintenance</v>
      </c>
      <c r="E92" s="16">
        <f t="shared" ca="1" si="1"/>
        <v>4018</v>
      </c>
      <c r="F92" s="16">
        <f t="shared" ca="1" si="2"/>
        <v>4043</v>
      </c>
      <c r="G92" s="16">
        <f t="shared" ca="1" si="10"/>
        <v>25</v>
      </c>
      <c r="H92" s="16">
        <f t="shared" ca="1" si="4"/>
        <v>6.5</v>
      </c>
      <c r="I92" s="16">
        <f t="shared" ca="1" si="5"/>
        <v>3.62</v>
      </c>
      <c r="J92" s="16">
        <f t="shared" ca="1" si="11"/>
        <v>23.53</v>
      </c>
      <c r="K92" s="15" t="str" cm="1">
        <f t="array" aca="1" ref="K92" ca="1">INDEX(Lists!$D$1:$D$4, RANDBETWEEN(1,4))</f>
        <v>Ahmed</v>
      </c>
      <c r="L92" s="16" t="str">
        <f t="shared" si="12"/>
        <v>2024-12</v>
      </c>
      <c r="M92" s="16">
        <f t="shared" si="13"/>
        <v>2024</v>
      </c>
      <c r="N92" s="17">
        <f t="shared" ca="1" si="14"/>
        <v>3.8461538461538463</v>
      </c>
      <c r="O92" s="16" t="str">
        <f t="shared" ca="1" si="16"/>
        <v>Medium</v>
      </c>
    </row>
    <row r="93" spans="1:15">
      <c r="A93" s="14">
        <v>45657</v>
      </c>
      <c r="B93" s="15" t="str" cm="1">
        <f t="array" aca="1" ref="B93" ca="1">INDEX(Lists!$A$1:$A$6, RANDBETWEEN(1,6))</f>
        <v>Welding Machine</v>
      </c>
      <c r="C93" s="15" t="str">
        <f ca="1">_xlfn.XLOOKUP(B93, Lists!$A$1:$A$6, Lists!$B$1:$B$6)</f>
        <v>WM12(WD5-000729)</v>
      </c>
      <c r="D93" s="15" t="str" cm="1">
        <f t="array" aca="1" ref="D93" ca="1">INDEX(Lists!$C$1:$C$3, RANDBETWEEN(1,3))</f>
        <v>Maintenance</v>
      </c>
      <c r="E93" s="16">
        <f t="shared" ca="1" si="1"/>
        <v>4662</v>
      </c>
      <c r="F93" s="16">
        <f t="shared" ca="1" si="2"/>
        <v>4737</v>
      </c>
      <c r="G93" s="16">
        <f t="shared" ca="1" si="10"/>
        <v>75</v>
      </c>
      <c r="H93" s="16">
        <f t="shared" ca="1" si="4"/>
        <v>5.5</v>
      </c>
      <c r="I93" s="16">
        <f t="shared" ca="1" si="5"/>
        <v>3.29</v>
      </c>
      <c r="J93" s="16">
        <f t="shared" ca="1" si="11"/>
        <v>18.094999999999999</v>
      </c>
      <c r="K93" s="15" t="str" cm="1">
        <f t="array" aca="1" ref="K93" ca="1">INDEX(Lists!$D$1:$D$4, RANDBETWEEN(1,4))</f>
        <v>Ravi</v>
      </c>
      <c r="L93" s="16" t="str">
        <f t="shared" si="12"/>
        <v>2024-12</v>
      </c>
      <c r="M93" s="16">
        <f t="shared" si="13"/>
        <v>2024</v>
      </c>
      <c r="N93" s="17">
        <f t="shared" ca="1" si="14"/>
        <v>13.636363636363637</v>
      </c>
      <c r="O93" s="16" t="str">
        <f t="shared" ca="1" si="16"/>
        <v>Long</v>
      </c>
    </row>
    <row r="94" spans="1:15">
      <c r="A94" s="14">
        <v>45658</v>
      </c>
      <c r="B94" s="15" t="str" cm="1">
        <f t="array" aca="1" ref="B94" ca="1">INDEX(Lists!$A$1:$A$6, RANDBETWEEN(1,6))</f>
        <v>Mini Excavator</v>
      </c>
      <c r="C94" s="15" t="str">
        <f ca="1">_xlfn.XLOOKUP(B94, Lists!$A$1:$A$6, Lists!$B$1:$B$6)</f>
        <v>ME6(10682709)</v>
      </c>
      <c r="D94" s="15" t="str" cm="1">
        <f t="array" aca="1" ref="D94" ca="1">INDEX(Lists!$C$1:$C$3, RANDBETWEEN(1,3))</f>
        <v>Operations</v>
      </c>
      <c r="E94" s="16">
        <f t="shared" ca="1" si="1"/>
        <v>4872</v>
      </c>
      <c r="F94" s="16">
        <f t="shared" ca="1" si="2"/>
        <v>4950</v>
      </c>
      <c r="G94" s="16">
        <f t="shared" ca="1" si="10"/>
        <v>78</v>
      </c>
      <c r="H94" s="16">
        <f t="shared" ca="1" si="4"/>
        <v>8</v>
      </c>
      <c r="I94" s="16">
        <f t="shared" ca="1" si="5"/>
        <v>3.33</v>
      </c>
      <c r="J94" s="16">
        <f t="shared" ca="1" si="11"/>
        <v>26.64</v>
      </c>
      <c r="K94" s="15" t="str" cm="1">
        <f t="array" aca="1" ref="K94" ca="1">INDEX(Lists!$D$1:$D$4, RANDBETWEEN(1,4))</f>
        <v>Maria</v>
      </c>
      <c r="L94" s="16" t="str">
        <f t="shared" si="12"/>
        <v>2025-01</v>
      </c>
      <c r="M94" s="16">
        <f t="shared" si="13"/>
        <v>2025</v>
      </c>
      <c r="N94" s="17">
        <f t="shared" ca="1" si="14"/>
        <v>9.75</v>
      </c>
      <c r="O94" s="16" t="str">
        <f t="shared" ca="1" si="16"/>
        <v>Long</v>
      </c>
    </row>
    <row r="95" spans="1:15">
      <c r="A95" s="14">
        <v>45659</v>
      </c>
      <c r="B95" s="15" t="str" cm="1">
        <f t="array" aca="1" ref="B95" ca="1">INDEX(Lists!$A$1:$A$6, RANDBETWEEN(1,6))</f>
        <v>Mini Excavator</v>
      </c>
      <c r="C95" s="15" t="str">
        <f ca="1">_xlfn.XLOOKUP(B95, Lists!$A$1:$A$6, Lists!$B$1:$B$6)</f>
        <v>ME6(10682709)</v>
      </c>
      <c r="D95" s="15" t="str" cm="1">
        <f t="array" aca="1" ref="D95" ca="1">INDEX(Lists!$C$1:$C$3, RANDBETWEEN(1,3))</f>
        <v>Maintenance</v>
      </c>
      <c r="E95" s="16">
        <f t="shared" ref="E95" ca="1" si="17">RANDBETWEEN(500,5000)</f>
        <v>1678</v>
      </c>
      <c r="F95" s="16">
        <f t="shared" ref="F95" ca="1" si="18">E95 + RANDBETWEEN(5,80)</f>
        <v>1731</v>
      </c>
      <c r="G95" s="16">
        <f t="shared" ca="1" si="10"/>
        <v>53</v>
      </c>
      <c r="H95" s="16">
        <f t="shared" ref="H95" ca="1" si="19">ROUND(RANDBETWEEN(5,25)*0.5,1)</f>
        <v>11.5</v>
      </c>
      <c r="I95" s="16">
        <f t="shared" ref="I95" ca="1" si="20">ROUND(3.2 + RAND()*0.6, 2)</f>
        <v>3.55</v>
      </c>
      <c r="J95" s="16">
        <f t="shared" ca="1" si="11"/>
        <v>40.824999999999996</v>
      </c>
      <c r="K95" s="15" t="str" cm="1">
        <f t="array" aca="1" ref="K95" ca="1">INDEX(Lists!$D$1:$D$4, RANDBETWEEN(1,4))</f>
        <v>Ravi</v>
      </c>
      <c r="L95" s="16" t="str">
        <f t="shared" si="12"/>
        <v>2025-01</v>
      </c>
      <c r="M95" s="16">
        <f t="shared" si="13"/>
        <v>2025</v>
      </c>
      <c r="N95" s="17">
        <f t="shared" ca="1" si="14"/>
        <v>4.6086956521739131</v>
      </c>
      <c r="O95" s="16" t="str">
        <f t="shared" ca="1" si="16"/>
        <v>Long</v>
      </c>
    </row>
    <row r="96" spans="1:15">
      <c r="A96" s="14">
        <v>45660</v>
      </c>
      <c r="B96" s="15" t="str" cm="1">
        <f t="array" aca="1" ref="B96" ca="1">INDEX(Lists!$A$1:$A$6, RANDBETWEEN(1,6))</f>
        <v>Bobcat</v>
      </c>
      <c r="C96" s="15" t="str">
        <f ca="1">_xlfn.XLOOKUP(B96, Lists!$A$1:$A$6, Lists!$B$1:$B$6)</f>
        <v>BC1(10931016)</v>
      </c>
      <c r="D96" s="15" t="str" cm="1">
        <f t="array" aca="1" ref="D96" ca="1">INDEX(Lists!$C$1:$C$3, RANDBETWEEN(1,3))</f>
        <v>Operations</v>
      </c>
      <c r="E96" s="16">
        <f t="shared" ca="1" si="1"/>
        <v>2512</v>
      </c>
      <c r="F96" s="16">
        <f t="shared" ca="1" si="2"/>
        <v>2564</v>
      </c>
      <c r="G96" s="16">
        <f t="shared" ca="1" si="10"/>
        <v>52</v>
      </c>
      <c r="H96" s="16">
        <f t="shared" ca="1" si="4"/>
        <v>12.5</v>
      </c>
      <c r="I96" s="16">
        <f t="shared" ca="1" si="5"/>
        <v>3.48</v>
      </c>
      <c r="J96" s="16">
        <f t="shared" ca="1" si="11"/>
        <v>43.5</v>
      </c>
      <c r="K96" s="15" t="str" cm="1">
        <f t="array" aca="1" ref="K96" ca="1">INDEX(Lists!$D$1:$D$4, RANDBETWEEN(1,4))</f>
        <v>Jose</v>
      </c>
      <c r="L96" s="16" t="str">
        <f t="shared" si="12"/>
        <v>2025-01</v>
      </c>
      <c r="M96" s="16">
        <f t="shared" si="13"/>
        <v>2025</v>
      </c>
      <c r="N96" s="17">
        <f t="shared" ca="1" si="14"/>
        <v>4.16</v>
      </c>
      <c r="O96" s="16" t="str">
        <f t="shared" ca="1" si="16"/>
        <v>Long</v>
      </c>
    </row>
    <row r="97" spans="1:15">
      <c r="A97" s="14">
        <v>45661</v>
      </c>
      <c r="B97" s="15" t="str" cm="1">
        <f t="array" aca="1" ref="B97" ca="1">INDEX(Lists!$A$1:$A$6, RANDBETWEEN(1,6))</f>
        <v>Bobcat</v>
      </c>
      <c r="C97" s="15" t="str">
        <f ca="1">_xlfn.XLOOKUP(B97, Lists!$A$1:$A$6, Lists!$B$1:$B$6)</f>
        <v>BC1(10931016)</v>
      </c>
      <c r="D97" s="15" t="str" cm="1">
        <f t="array" aca="1" ref="D97" ca="1">INDEX(Lists!$C$1:$C$3, RANDBETWEEN(1,3))</f>
        <v>Maintenance</v>
      </c>
      <c r="E97" s="16">
        <f t="shared" ca="1" si="1"/>
        <v>4748</v>
      </c>
      <c r="F97" s="16">
        <f t="shared" ca="1" si="2"/>
        <v>4826</v>
      </c>
      <c r="G97" s="16">
        <f t="shared" ca="1" si="10"/>
        <v>78</v>
      </c>
      <c r="H97" s="16">
        <f t="shared" ca="1" si="4"/>
        <v>2.5</v>
      </c>
      <c r="I97" s="16">
        <f t="shared" ca="1" si="5"/>
        <v>3.69</v>
      </c>
      <c r="J97" s="16">
        <f t="shared" ca="1" si="11"/>
        <v>9.2249999999999996</v>
      </c>
      <c r="K97" s="15" t="str" cm="1">
        <f t="array" aca="1" ref="K97" ca="1">INDEX(Lists!$D$1:$D$4, RANDBETWEEN(1,4))</f>
        <v>Jose</v>
      </c>
      <c r="L97" s="16" t="str">
        <f t="shared" si="12"/>
        <v>2025-01</v>
      </c>
      <c r="M97" s="16">
        <f t="shared" si="13"/>
        <v>2025</v>
      </c>
      <c r="N97" s="17">
        <f t="shared" ca="1" si="14"/>
        <v>31.2</v>
      </c>
      <c r="O97" s="16" t="str">
        <f t="shared" ca="1" si="16"/>
        <v>Long</v>
      </c>
    </row>
    <row r="98" spans="1:15">
      <c r="A98" s="14">
        <v>45662</v>
      </c>
      <c r="B98" s="15" t="str" cm="1">
        <f t="array" aca="1" ref="B98" ca="1">INDEX(Lists!$A$1:$A$6, RANDBETWEEN(1,6))</f>
        <v>Bobcat</v>
      </c>
      <c r="C98" s="15" t="str">
        <f ca="1">_xlfn.XLOOKUP(B98, Lists!$A$1:$A$6, Lists!$B$1:$B$6)</f>
        <v>BC1(10931016)</v>
      </c>
      <c r="D98" s="15" t="str" cm="1">
        <f t="array" aca="1" ref="D98" ca="1">INDEX(Lists!$C$1:$C$3, RANDBETWEEN(1,3))</f>
        <v>Operations</v>
      </c>
      <c r="E98" s="16">
        <f t="shared" ca="1" si="1"/>
        <v>2641</v>
      </c>
      <c r="F98" s="16">
        <f t="shared" ca="1" si="2"/>
        <v>2671</v>
      </c>
      <c r="G98" s="16">
        <f t="shared" ref="G98:G161" ca="1" si="21">F98 - E98</f>
        <v>30</v>
      </c>
      <c r="H98" s="16">
        <f t="shared" ca="1" si="4"/>
        <v>2.5</v>
      </c>
      <c r="I98" s="16">
        <f t="shared" ca="1" si="5"/>
        <v>3.79</v>
      </c>
      <c r="J98" s="16">
        <f t="shared" ref="J98:J161" ca="1" si="22">H98 * I98</f>
        <v>9.4749999999999996</v>
      </c>
      <c r="K98" s="15" t="str" cm="1">
        <f t="array" aca="1" ref="K98" ca="1">INDEX(Lists!$D$1:$D$4, RANDBETWEEN(1,4))</f>
        <v>Maria</v>
      </c>
      <c r="L98" s="16" t="str">
        <f t="shared" ref="L98:L161" si="23">TEXT(A98,"yyyy-mm")</f>
        <v>2025-01</v>
      </c>
      <c r="M98" s="16">
        <f t="shared" ref="M98:M161" si="24">YEAR(A98)</f>
        <v>2025</v>
      </c>
      <c r="N98" s="17">
        <f t="shared" ref="N98:N161" ca="1" si="25">IF(H98=0,"", G98/H98)</f>
        <v>12</v>
      </c>
      <c r="O98" s="16" t="str">
        <f t="shared" ref="O98:O129" ca="1" si="26">IF(G98&lt;20,"Short", IF(G98&lt;=50,"Medium","Long"))</f>
        <v>Medium</v>
      </c>
    </row>
    <row r="99" spans="1:15">
      <c r="A99" s="14">
        <v>45663</v>
      </c>
      <c r="B99" s="15" t="str" cm="1">
        <f t="array" aca="1" ref="B99" ca="1">INDEX(Lists!$A$1:$A$6, RANDBETWEEN(1,6))</f>
        <v>Forklift</v>
      </c>
      <c r="C99" s="15" t="str">
        <f ca="1">_xlfn.XLOOKUP(B99, Lists!$A$1:$A$6, Lists!$B$1:$B$6)</f>
        <v>F7(217595AH)</v>
      </c>
      <c r="D99" s="15" t="str" cm="1">
        <f t="array" aca="1" ref="D99" ca="1">INDEX(Lists!$C$1:$C$3, RANDBETWEEN(1,3))</f>
        <v>Maintenance</v>
      </c>
      <c r="E99" s="16">
        <f t="shared" ca="1" si="1"/>
        <v>4944</v>
      </c>
      <c r="F99" s="16">
        <f t="shared" ca="1" si="2"/>
        <v>4954</v>
      </c>
      <c r="G99" s="16">
        <f t="shared" ca="1" si="21"/>
        <v>10</v>
      </c>
      <c r="H99" s="16">
        <f t="shared" ca="1" si="4"/>
        <v>2.5</v>
      </c>
      <c r="I99" s="16">
        <f t="shared" ca="1" si="5"/>
        <v>3.62</v>
      </c>
      <c r="J99" s="16">
        <f t="shared" ca="1" si="22"/>
        <v>9.0500000000000007</v>
      </c>
      <c r="K99" s="15" t="str" cm="1">
        <f t="array" aca="1" ref="K99" ca="1">INDEX(Lists!$D$1:$D$4, RANDBETWEEN(1,4))</f>
        <v>Jose</v>
      </c>
      <c r="L99" s="16" t="str">
        <f t="shared" si="23"/>
        <v>2025-01</v>
      </c>
      <c r="M99" s="16">
        <f t="shared" si="24"/>
        <v>2025</v>
      </c>
      <c r="N99" s="17">
        <f t="shared" ca="1" si="25"/>
        <v>4</v>
      </c>
      <c r="O99" s="16" t="str">
        <f t="shared" ca="1" si="26"/>
        <v>Short</v>
      </c>
    </row>
    <row r="100" spans="1:15">
      <c r="A100" s="14">
        <v>45664</v>
      </c>
      <c r="B100" s="15" t="str" cm="1">
        <f t="array" aca="1" ref="B100" ca="1">INDEX(Lists!$A$1:$A$6, RANDBETWEEN(1,6))</f>
        <v>Boom Lift</v>
      </c>
      <c r="C100" s="15" t="str">
        <f ca="1">_xlfn.XLOOKUP(B100, Lists!$A$1:$A$6, Lists!$B$1:$B$6)</f>
        <v>BL8(1047802)</v>
      </c>
      <c r="D100" s="15" t="str" cm="1">
        <f t="array" aca="1" ref="D100" ca="1">INDEX(Lists!$C$1:$C$3, RANDBETWEEN(1,3))</f>
        <v>Yard</v>
      </c>
      <c r="E100" s="16">
        <f t="shared" ca="1" si="1"/>
        <v>1930</v>
      </c>
      <c r="F100" s="16">
        <f t="shared" ca="1" si="2"/>
        <v>2000</v>
      </c>
      <c r="G100" s="16">
        <f t="shared" ca="1" si="21"/>
        <v>70</v>
      </c>
      <c r="H100" s="16">
        <f t="shared" ca="1" si="4"/>
        <v>4.5</v>
      </c>
      <c r="I100" s="16">
        <f t="shared" ca="1" si="5"/>
        <v>3.77</v>
      </c>
      <c r="J100" s="16">
        <f t="shared" ca="1" si="22"/>
        <v>16.965</v>
      </c>
      <c r="K100" s="15" t="str" cm="1">
        <f t="array" aca="1" ref="K100" ca="1">INDEX(Lists!$D$1:$D$4, RANDBETWEEN(1,4))</f>
        <v>Jose</v>
      </c>
      <c r="L100" s="16" t="str">
        <f t="shared" si="23"/>
        <v>2025-01</v>
      </c>
      <c r="M100" s="16">
        <f t="shared" si="24"/>
        <v>2025</v>
      </c>
      <c r="N100" s="17">
        <f t="shared" ca="1" si="25"/>
        <v>15.555555555555555</v>
      </c>
      <c r="O100" s="16" t="str">
        <f t="shared" ca="1" si="26"/>
        <v>Long</v>
      </c>
    </row>
    <row r="101" spans="1:15">
      <c r="A101" s="14">
        <v>45665</v>
      </c>
      <c r="B101" s="15" t="str" cm="1">
        <f t="array" aca="1" ref="B101" ca="1">INDEX(Lists!$A$1:$A$6, RANDBETWEEN(1,6))</f>
        <v>Forklift</v>
      </c>
      <c r="C101" s="15" t="str">
        <f ca="1">_xlfn.XLOOKUP(B101, Lists!$A$1:$A$6, Lists!$B$1:$B$6)</f>
        <v>F7(217595AH)</v>
      </c>
      <c r="D101" s="15" t="str" cm="1">
        <f t="array" aca="1" ref="D101" ca="1">INDEX(Lists!$C$1:$C$3, RANDBETWEEN(1,3))</f>
        <v>Maintenance</v>
      </c>
      <c r="E101" s="16">
        <f t="shared" ca="1" si="1"/>
        <v>3070</v>
      </c>
      <c r="F101" s="16">
        <f t="shared" ca="1" si="2"/>
        <v>3118</v>
      </c>
      <c r="G101" s="16">
        <f t="shared" ca="1" si="21"/>
        <v>48</v>
      </c>
      <c r="H101" s="16">
        <f t="shared" ca="1" si="4"/>
        <v>11</v>
      </c>
      <c r="I101" s="16">
        <f t="shared" ca="1" si="5"/>
        <v>3.55</v>
      </c>
      <c r="J101" s="16">
        <f t="shared" ca="1" si="22"/>
        <v>39.049999999999997</v>
      </c>
      <c r="K101" s="15" t="str" cm="1">
        <f t="array" aca="1" ref="K101" ca="1">INDEX(Lists!$D$1:$D$4, RANDBETWEEN(1,4))</f>
        <v>Ahmed</v>
      </c>
      <c r="L101" s="16" t="str">
        <f t="shared" si="23"/>
        <v>2025-01</v>
      </c>
      <c r="M101" s="16">
        <f t="shared" si="24"/>
        <v>2025</v>
      </c>
      <c r="N101" s="17">
        <f t="shared" ca="1" si="25"/>
        <v>4.3636363636363633</v>
      </c>
      <c r="O101" s="16" t="str">
        <f t="shared" ca="1" si="26"/>
        <v>Medium</v>
      </c>
    </row>
    <row r="102" spans="1:15">
      <c r="A102" s="14">
        <v>45666</v>
      </c>
      <c r="B102" s="15" t="str" cm="1">
        <f t="array" aca="1" ref="B102" ca="1">INDEX(Lists!$A$1:$A$6, RANDBETWEEN(1,6))</f>
        <v>Front End Loader</v>
      </c>
      <c r="C102" s="15" t="str">
        <f ca="1">_xlfn.XLOOKUP(B102, Lists!$A$1:$A$6, Lists!$B$1:$B$6)</f>
        <v>FE1(10930360)</v>
      </c>
      <c r="D102" s="15" t="str" cm="1">
        <f t="array" aca="1" ref="D102" ca="1">INDEX(Lists!$C$1:$C$3, RANDBETWEEN(1,3))</f>
        <v>Maintenance</v>
      </c>
      <c r="E102" s="16">
        <f t="shared" ca="1" si="1"/>
        <v>1144</v>
      </c>
      <c r="F102" s="16">
        <f t="shared" ca="1" si="2"/>
        <v>1166</v>
      </c>
      <c r="G102" s="16">
        <f t="shared" ca="1" si="21"/>
        <v>22</v>
      </c>
      <c r="H102" s="16">
        <f t="shared" ca="1" si="4"/>
        <v>3.5</v>
      </c>
      <c r="I102" s="16">
        <f t="shared" ca="1" si="5"/>
        <v>3.3</v>
      </c>
      <c r="J102" s="16">
        <f t="shared" ca="1" si="22"/>
        <v>11.549999999999999</v>
      </c>
      <c r="K102" s="15" t="str" cm="1">
        <f t="array" aca="1" ref="K102" ca="1">INDEX(Lists!$D$1:$D$4, RANDBETWEEN(1,4))</f>
        <v>Jose</v>
      </c>
      <c r="L102" s="16" t="str">
        <f t="shared" si="23"/>
        <v>2025-01</v>
      </c>
      <c r="M102" s="16">
        <f t="shared" si="24"/>
        <v>2025</v>
      </c>
      <c r="N102" s="17">
        <f t="shared" ca="1" si="25"/>
        <v>6.2857142857142856</v>
      </c>
      <c r="O102" s="16" t="str">
        <f t="shared" ca="1" si="26"/>
        <v>Medium</v>
      </c>
    </row>
    <row r="103" spans="1:15">
      <c r="A103" s="14">
        <v>45667</v>
      </c>
      <c r="B103" s="15" t="str" cm="1">
        <f t="array" aca="1" ref="B103" ca="1">INDEX(Lists!$A$1:$A$6, RANDBETWEEN(1,6))</f>
        <v>Boom Lift</v>
      </c>
      <c r="C103" s="15" t="str">
        <f ca="1">_xlfn.XLOOKUP(B103, Lists!$A$1:$A$6, Lists!$B$1:$B$6)</f>
        <v>BL8(1047802)</v>
      </c>
      <c r="D103" s="15" t="str" cm="1">
        <f t="array" aca="1" ref="D103" ca="1">INDEX(Lists!$C$1:$C$3, RANDBETWEEN(1,3))</f>
        <v>Yard</v>
      </c>
      <c r="E103" s="16">
        <f t="shared" ca="1" si="1"/>
        <v>869</v>
      </c>
      <c r="F103" s="16">
        <f t="shared" ca="1" si="2"/>
        <v>902</v>
      </c>
      <c r="G103" s="16">
        <f t="shared" ca="1" si="21"/>
        <v>33</v>
      </c>
      <c r="H103" s="16">
        <f t="shared" ca="1" si="4"/>
        <v>4.5</v>
      </c>
      <c r="I103" s="16">
        <f t="shared" ca="1" si="5"/>
        <v>3.79</v>
      </c>
      <c r="J103" s="16">
        <f t="shared" ca="1" si="22"/>
        <v>17.055</v>
      </c>
      <c r="K103" s="15" t="str" cm="1">
        <f t="array" aca="1" ref="K103" ca="1">INDEX(Lists!$D$1:$D$4, RANDBETWEEN(1,4))</f>
        <v>Maria</v>
      </c>
      <c r="L103" s="16" t="str">
        <f t="shared" si="23"/>
        <v>2025-01</v>
      </c>
      <c r="M103" s="16">
        <f t="shared" si="24"/>
        <v>2025</v>
      </c>
      <c r="N103" s="17">
        <f t="shared" ca="1" si="25"/>
        <v>7.333333333333333</v>
      </c>
      <c r="O103" s="16" t="str">
        <f t="shared" ca="1" si="26"/>
        <v>Medium</v>
      </c>
    </row>
    <row r="104" spans="1:15">
      <c r="A104" s="14">
        <v>45668</v>
      </c>
      <c r="B104" s="15" t="str" cm="1">
        <f t="array" aca="1" ref="B104" ca="1">INDEX(Lists!$A$1:$A$6, RANDBETWEEN(1,6))</f>
        <v>Welding Machine</v>
      </c>
      <c r="C104" s="15" t="str">
        <f ca="1">_xlfn.XLOOKUP(B104, Lists!$A$1:$A$6, Lists!$B$1:$B$6)</f>
        <v>WM12(WD5-000729)</v>
      </c>
      <c r="D104" s="15" t="str" cm="1">
        <f t="array" aca="1" ref="D104" ca="1">INDEX(Lists!$C$1:$C$3, RANDBETWEEN(1,3))</f>
        <v>Maintenance</v>
      </c>
      <c r="E104" s="16">
        <f t="shared" ca="1" si="1"/>
        <v>1961</v>
      </c>
      <c r="F104" s="16">
        <f t="shared" ca="1" si="2"/>
        <v>2012</v>
      </c>
      <c r="G104" s="16">
        <f t="shared" ca="1" si="21"/>
        <v>51</v>
      </c>
      <c r="H104" s="16">
        <f t="shared" ca="1" si="4"/>
        <v>10</v>
      </c>
      <c r="I104" s="16">
        <f t="shared" ca="1" si="5"/>
        <v>3.59</v>
      </c>
      <c r="J104" s="16">
        <f t="shared" ca="1" si="22"/>
        <v>35.9</v>
      </c>
      <c r="K104" s="15" t="str" cm="1">
        <f t="array" aca="1" ref="K104" ca="1">INDEX(Lists!$D$1:$D$4, RANDBETWEEN(1,4))</f>
        <v>Maria</v>
      </c>
      <c r="L104" s="16" t="str">
        <f t="shared" si="23"/>
        <v>2025-01</v>
      </c>
      <c r="M104" s="16">
        <f t="shared" si="24"/>
        <v>2025</v>
      </c>
      <c r="N104" s="17">
        <f t="shared" ca="1" si="25"/>
        <v>5.0999999999999996</v>
      </c>
      <c r="O104" s="16" t="str">
        <f t="shared" ca="1" si="26"/>
        <v>Long</v>
      </c>
    </row>
    <row r="105" spans="1:15">
      <c r="A105" s="14">
        <v>45669</v>
      </c>
      <c r="B105" s="15" t="str" cm="1">
        <f t="array" aca="1" ref="B105" ca="1">INDEX(Lists!$A$1:$A$6, RANDBETWEEN(1,6))</f>
        <v>Front End Loader</v>
      </c>
      <c r="C105" s="15" t="str">
        <f ca="1">_xlfn.XLOOKUP(B105, Lists!$A$1:$A$6, Lists!$B$1:$B$6)</f>
        <v>FE1(10930360)</v>
      </c>
      <c r="D105" s="15" t="str" cm="1">
        <f t="array" aca="1" ref="D105" ca="1">INDEX(Lists!$C$1:$C$3, RANDBETWEEN(1,3))</f>
        <v>Yard</v>
      </c>
      <c r="E105" s="16">
        <f t="shared" ca="1" si="1"/>
        <v>1184</v>
      </c>
      <c r="F105" s="16">
        <f t="shared" ca="1" si="2"/>
        <v>1219</v>
      </c>
      <c r="G105" s="16">
        <f t="shared" ca="1" si="21"/>
        <v>35</v>
      </c>
      <c r="H105" s="16">
        <f t="shared" ca="1" si="4"/>
        <v>3</v>
      </c>
      <c r="I105" s="16">
        <f t="shared" ca="1" si="5"/>
        <v>3.32</v>
      </c>
      <c r="J105" s="16">
        <f t="shared" ca="1" si="22"/>
        <v>9.9599999999999991</v>
      </c>
      <c r="K105" s="15" t="str" cm="1">
        <f t="array" aca="1" ref="K105" ca="1">INDEX(Lists!$D$1:$D$4, RANDBETWEEN(1,4))</f>
        <v>Ahmed</v>
      </c>
      <c r="L105" s="16" t="str">
        <f t="shared" si="23"/>
        <v>2025-01</v>
      </c>
      <c r="M105" s="16">
        <f t="shared" si="24"/>
        <v>2025</v>
      </c>
      <c r="N105" s="17">
        <f t="shared" ca="1" si="25"/>
        <v>11.666666666666666</v>
      </c>
      <c r="O105" s="16" t="str">
        <f t="shared" ca="1" si="26"/>
        <v>Medium</v>
      </c>
    </row>
    <row r="106" spans="1:15">
      <c r="A106" s="14">
        <v>45670</v>
      </c>
      <c r="B106" s="15" t="str" cm="1">
        <f t="array" aca="1" ref="B106" ca="1">INDEX(Lists!$A$1:$A$6, RANDBETWEEN(1,6))</f>
        <v>Welding Machine</v>
      </c>
      <c r="C106" s="15" t="str">
        <f ca="1">_xlfn.XLOOKUP(B106, Lists!$A$1:$A$6, Lists!$B$1:$B$6)</f>
        <v>WM12(WD5-000729)</v>
      </c>
      <c r="D106" s="15" t="str" cm="1">
        <f t="array" aca="1" ref="D106" ca="1">INDEX(Lists!$C$1:$C$3, RANDBETWEEN(1,3))</f>
        <v>Operations</v>
      </c>
      <c r="E106" s="16">
        <f t="shared" ca="1" si="1"/>
        <v>4869</v>
      </c>
      <c r="F106" s="16">
        <f t="shared" ca="1" si="2"/>
        <v>4874</v>
      </c>
      <c r="G106" s="16">
        <f t="shared" ca="1" si="21"/>
        <v>5</v>
      </c>
      <c r="H106" s="16">
        <f t="shared" ca="1" si="4"/>
        <v>5</v>
      </c>
      <c r="I106" s="16">
        <f t="shared" ca="1" si="5"/>
        <v>3.48</v>
      </c>
      <c r="J106" s="16">
        <f t="shared" ca="1" si="22"/>
        <v>17.399999999999999</v>
      </c>
      <c r="K106" s="15" t="str" cm="1">
        <f t="array" aca="1" ref="K106" ca="1">INDEX(Lists!$D$1:$D$4, RANDBETWEEN(1,4))</f>
        <v>Ravi</v>
      </c>
      <c r="L106" s="16" t="str">
        <f t="shared" si="23"/>
        <v>2025-01</v>
      </c>
      <c r="M106" s="16">
        <f t="shared" si="24"/>
        <v>2025</v>
      </c>
      <c r="N106" s="17">
        <f t="shared" ca="1" si="25"/>
        <v>1</v>
      </c>
      <c r="O106" s="16" t="str">
        <f t="shared" ca="1" si="26"/>
        <v>Short</v>
      </c>
    </row>
    <row r="107" spans="1:15">
      <c r="A107" s="14">
        <v>45671</v>
      </c>
      <c r="B107" s="15" t="str" cm="1">
        <f t="array" aca="1" ref="B107" ca="1">INDEX(Lists!$A$1:$A$6, RANDBETWEEN(1,6))</f>
        <v>Welding Machine</v>
      </c>
      <c r="C107" s="15" t="str">
        <f ca="1">_xlfn.XLOOKUP(B107, Lists!$A$1:$A$6, Lists!$B$1:$B$6)</f>
        <v>WM12(WD5-000729)</v>
      </c>
      <c r="D107" s="15" t="str" cm="1">
        <f t="array" aca="1" ref="D107" ca="1">INDEX(Lists!$C$1:$C$3, RANDBETWEEN(1,3))</f>
        <v>Operations</v>
      </c>
      <c r="E107" s="16">
        <f t="shared" ca="1" si="1"/>
        <v>4709</v>
      </c>
      <c r="F107" s="16">
        <f t="shared" ca="1" si="2"/>
        <v>4760</v>
      </c>
      <c r="G107" s="16">
        <f t="shared" ca="1" si="21"/>
        <v>51</v>
      </c>
      <c r="H107" s="16">
        <f t="shared" ca="1" si="4"/>
        <v>11</v>
      </c>
      <c r="I107" s="16">
        <f t="shared" ca="1" si="5"/>
        <v>3.69</v>
      </c>
      <c r="J107" s="16">
        <f t="shared" ca="1" si="22"/>
        <v>40.589999999999996</v>
      </c>
      <c r="K107" s="15" t="str" cm="1">
        <f t="array" aca="1" ref="K107" ca="1">INDEX(Lists!$D$1:$D$4, RANDBETWEEN(1,4))</f>
        <v>Jose</v>
      </c>
      <c r="L107" s="16" t="str">
        <f t="shared" si="23"/>
        <v>2025-01</v>
      </c>
      <c r="M107" s="16">
        <f t="shared" si="24"/>
        <v>2025</v>
      </c>
      <c r="N107" s="17">
        <f t="shared" ca="1" si="25"/>
        <v>4.6363636363636367</v>
      </c>
      <c r="O107" s="16" t="str">
        <f t="shared" ca="1" si="26"/>
        <v>Long</v>
      </c>
    </row>
    <row r="108" spans="1:15">
      <c r="A108" s="14">
        <v>45672</v>
      </c>
      <c r="B108" s="15" t="str" cm="1">
        <f t="array" aca="1" ref="B108" ca="1">INDEX(Lists!$A$1:$A$6, RANDBETWEEN(1,6))</f>
        <v>Bobcat</v>
      </c>
      <c r="C108" s="15" t="str">
        <f ca="1">_xlfn.XLOOKUP(B108, Lists!$A$1:$A$6, Lists!$B$1:$B$6)</f>
        <v>BC1(10931016)</v>
      </c>
      <c r="D108" s="15" t="str" cm="1">
        <f t="array" aca="1" ref="D108" ca="1">INDEX(Lists!$C$1:$C$3, RANDBETWEEN(1,3))</f>
        <v>Operations</v>
      </c>
      <c r="E108" s="16">
        <f t="shared" ca="1" si="1"/>
        <v>1036</v>
      </c>
      <c r="F108" s="16">
        <f t="shared" ca="1" si="2"/>
        <v>1086</v>
      </c>
      <c r="G108" s="16">
        <f t="shared" ca="1" si="21"/>
        <v>50</v>
      </c>
      <c r="H108" s="16">
        <f t="shared" ca="1" si="4"/>
        <v>9</v>
      </c>
      <c r="I108" s="16">
        <f t="shared" ca="1" si="5"/>
        <v>3.4</v>
      </c>
      <c r="J108" s="16">
        <f t="shared" ca="1" si="22"/>
        <v>30.599999999999998</v>
      </c>
      <c r="K108" s="15" t="str" cm="1">
        <f t="array" aca="1" ref="K108" ca="1">INDEX(Lists!$D$1:$D$4, RANDBETWEEN(1,4))</f>
        <v>Jose</v>
      </c>
      <c r="L108" s="16" t="str">
        <f t="shared" si="23"/>
        <v>2025-01</v>
      </c>
      <c r="M108" s="16">
        <f t="shared" si="24"/>
        <v>2025</v>
      </c>
      <c r="N108" s="17">
        <f t="shared" ca="1" si="25"/>
        <v>5.5555555555555554</v>
      </c>
      <c r="O108" s="16" t="str">
        <f t="shared" ca="1" si="26"/>
        <v>Medium</v>
      </c>
    </row>
    <row r="109" spans="1:15">
      <c r="A109" s="14">
        <v>45673</v>
      </c>
      <c r="B109" s="15" t="str" cm="1">
        <f t="array" aca="1" ref="B109" ca="1">INDEX(Lists!$A$1:$A$6, RANDBETWEEN(1,6))</f>
        <v>Mini Excavator</v>
      </c>
      <c r="C109" s="15" t="str">
        <f ca="1">_xlfn.XLOOKUP(B109, Lists!$A$1:$A$6, Lists!$B$1:$B$6)</f>
        <v>ME6(10682709)</v>
      </c>
      <c r="D109" s="15" t="str" cm="1">
        <f t="array" aca="1" ref="D109" ca="1">INDEX(Lists!$C$1:$C$3, RANDBETWEEN(1,3))</f>
        <v>Maintenance</v>
      </c>
      <c r="E109" s="16">
        <f t="shared" ca="1" si="1"/>
        <v>1530</v>
      </c>
      <c r="F109" s="16">
        <f t="shared" ca="1" si="2"/>
        <v>1567</v>
      </c>
      <c r="G109" s="16">
        <f t="shared" ca="1" si="21"/>
        <v>37</v>
      </c>
      <c r="H109" s="16">
        <f t="shared" ca="1" si="4"/>
        <v>2.5</v>
      </c>
      <c r="I109" s="16">
        <f t="shared" ca="1" si="5"/>
        <v>3.78</v>
      </c>
      <c r="J109" s="16">
        <f t="shared" ca="1" si="22"/>
        <v>9.4499999999999993</v>
      </c>
      <c r="K109" s="15" t="str" cm="1">
        <f t="array" aca="1" ref="K109" ca="1">INDEX(Lists!$D$1:$D$4, RANDBETWEEN(1,4))</f>
        <v>Ravi</v>
      </c>
      <c r="L109" s="16" t="str">
        <f t="shared" si="23"/>
        <v>2025-01</v>
      </c>
      <c r="M109" s="16">
        <f t="shared" si="24"/>
        <v>2025</v>
      </c>
      <c r="N109" s="17">
        <f t="shared" ca="1" si="25"/>
        <v>14.8</v>
      </c>
      <c r="O109" s="16" t="str">
        <f t="shared" ca="1" si="26"/>
        <v>Medium</v>
      </c>
    </row>
    <row r="110" spans="1:15">
      <c r="A110" s="14">
        <v>45674</v>
      </c>
      <c r="B110" s="15" t="str" cm="1">
        <f t="array" aca="1" ref="B110" ca="1">INDEX(Lists!$A$1:$A$6, RANDBETWEEN(1,6))</f>
        <v>Welding Machine</v>
      </c>
      <c r="C110" s="15" t="str">
        <f ca="1">_xlfn.XLOOKUP(B110, Lists!$A$1:$A$6, Lists!$B$1:$B$6)</f>
        <v>WM12(WD5-000729)</v>
      </c>
      <c r="D110" s="15" t="str" cm="1">
        <f t="array" aca="1" ref="D110" ca="1">INDEX(Lists!$C$1:$C$3, RANDBETWEEN(1,3))</f>
        <v>Yard</v>
      </c>
      <c r="E110" s="16">
        <f t="shared" ca="1" si="1"/>
        <v>2782</v>
      </c>
      <c r="F110" s="16">
        <f t="shared" ca="1" si="2"/>
        <v>2841</v>
      </c>
      <c r="G110" s="16">
        <f t="shared" ca="1" si="21"/>
        <v>59</v>
      </c>
      <c r="H110" s="16">
        <f t="shared" ca="1" si="4"/>
        <v>5.5</v>
      </c>
      <c r="I110" s="16">
        <f t="shared" ca="1" si="5"/>
        <v>3.46</v>
      </c>
      <c r="J110" s="16">
        <f t="shared" ca="1" si="22"/>
        <v>19.03</v>
      </c>
      <c r="K110" s="15" t="str" cm="1">
        <f t="array" aca="1" ref="K110" ca="1">INDEX(Lists!$D$1:$D$4, RANDBETWEEN(1,4))</f>
        <v>Ahmed</v>
      </c>
      <c r="L110" s="16" t="str">
        <f t="shared" si="23"/>
        <v>2025-01</v>
      </c>
      <c r="M110" s="16">
        <f t="shared" si="24"/>
        <v>2025</v>
      </c>
      <c r="N110" s="17">
        <f t="shared" ca="1" si="25"/>
        <v>10.727272727272727</v>
      </c>
      <c r="O110" s="16" t="str">
        <f t="shared" ca="1" si="26"/>
        <v>Long</v>
      </c>
    </row>
    <row r="111" spans="1:15">
      <c r="A111" s="14">
        <v>45675</v>
      </c>
      <c r="B111" s="15" t="str" cm="1">
        <f t="array" aca="1" ref="B111" ca="1">INDEX(Lists!$A$1:$A$6, RANDBETWEEN(1,6))</f>
        <v>Boom Lift</v>
      </c>
      <c r="C111" s="15" t="str">
        <f ca="1">_xlfn.XLOOKUP(B111, Lists!$A$1:$A$6, Lists!$B$1:$B$6)</f>
        <v>BL8(1047802)</v>
      </c>
      <c r="D111" s="15" t="str" cm="1">
        <f t="array" aca="1" ref="D111" ca="1">INDEX(Lists!$C$1:$C$3, RANDBETWEEN(1,3))</f>
        <v>Maintenance</v>
      </c>
      <c r="E111" s="16">
        <f t="shared" ca="1" si="1"/>
        <v>1668</v>
      </c>
      <c r="F111" s="16">
        <f t="shared" ca="1" si="2"/>
        <v>1728</v>
      </c>
      <c r="G111" s="16">
        <f t="shared" ca="1" si="21"/>
        <v>60</v>
      </c>
      <c r="H111" s="16">
        <f t="shared" ca="1" si="4"/>
        <v>11.5</v>
      </c>
      <c r="I111" s="16">
        <f t="shared" ca="1" si="5"/>
        <v>3.43</v>
      </c>
      <c r="J111" s="16">
        <f t="shared" ca="1" si="22"/>
        <v>39.445</v>
      </c>
      <c r="K111" s="15" t="str" cm="1">
        <f t="array" aca="1" ref="K111" ca="1">INDEX(Lists!$D$1:$D$4, RANDBETWEEN(1,4))</f>
        <v>Maria</v>
      </c>
      <c r="L111" s="16" t="str">
        <f t="shared" si="23"/>
        <v>2025-01</v>
      </c>
      <c r="M111" s="16">
        <f t="shared" si="24"/>
        <v>2025</v>
      </c>
      <c r="N111" s="17">
        <f t="shared" ca="1" si="25"/>
        <v>5.2173913043478262</v>
      </c>
      <c r="O111" s="16" t="str">
        <f t="shared" ca="1" si="26"/>
        <v>Long</v>
      </c>
    </row>
    <row r="112" spans="1:15">
      <c r="A112" s="14">
        <v>45676</v>
      </c>
      <c r="B112" s="15" t="str" cm="1">
        <f t="array" aca="1" ref="B112" ca="1">INDEX(Lists!$A$1:$A$6, RANDBETWEEN(1,6))</f>
        <v>Forklift</v>
      </c>
      <c r="C112" s="15" t="str">
        <f ca="1">_xlfn.XLOOKUP(B112, Lists!$A$1:$A$6, Lists!$B$1:$B$6)</f>
        <v>F7(217595AH)</v>
      </c>
      <c r="D112" s="15" t="str" cm="1">
        <f t="array" aca="1" ref="D112" ca="1">INDEX(Lists!$C$1:$C$3, RANDBETWEEN(1,3))</f>
        <v>Operations</v>
      </c>
      <c r="E112" s="16">
        <f t="shared" ca="1" si="1"/>
        <v>1283</v>
      </c>
      <c r="F112" s="16">
        <f t="shared" ca="1" si="2"/>
        <v>1333</v>
      </c>
      <c r="G112" s="16">
        <f t="shared" ca="1" si="21"/>
        <v>50</v>
      </c>
      <c r="H112" s="16">
        <f t="shared" ca="1" si="4"/>
        <v>3.5</v>
      </c>
      <c r="I112" s="16">
        <f t="shared" ca="1" si="5"/>
        <v>3.31</v>
      </c>
      <c r="J112" s="16">
        <f t="shared" ca="1" si="22"/>
        <v>11.585000000000001</v>
      </c>
      <c r="K112" s="15" t="str" cm="1">
        <f t="array" aca="1" ref="K112" ca="1">INDEX(Lists!$D$1:$D$4, RANDBETWEEN(1,4))</f>
        <v>Maria</v>
      </c>
      <c r="L112" s="16" t="str">
        <f t="shared" si="23"/>
        <v>2025-01</v>
      </c>
      <c r="M112" s="16">
        <f t="shared" si="24"/>
        <v>2025</v>
      </c>
      <c r="N112" s="17">
        <f t="shared" ca="1" si="25"/>
        <v>14.285714285714286</v>
      </c>
      <c r="O112" s="16" t="str">
        <f t="shared" ca="1" si="26"/>
        <v>Medium</v>
      </c>
    </row>
    <row r="113" spans="1:15">
      <c r="A113" s="14">
        <v>45677</v>
      </c>
      <c r="B113" s="15" t="str" cm="1">
        <f t="array" aca="1" ref="B113" ca="1">INDEX(Lists!$A$1:$A$6, RANDBETWEEN(1,6))</f>
        <v>Welding Machine</v>
      </c>
      <c r="C113" s="15" t="str">
        <f ca="1">_xlfn.XLOOKUP(B113, Lists!$A$1:$A$6, Lists!$B$1:$B$6)</f>
        <v>WM12(WD5-000729)</v>
      </c>
      <c r="D113" s="15" t="str" cm="1">
        <f t="array" aca="1" ref="D113" ca="1">INDEX(Lists!$C$1:$C$3, RANDBETWEEN(1,3))</f>
        <v>Maintenance</v>
      </c>
      <c r="E113" s="16">
        <f t="shared" ca="1" si="1"/>
        <v>2864</v>
      </c>
      <c r="F113" s="16">
        <f t="shared" ca="1" si="2"/>
        <v>2892</v>
      </c>
      <c r="G113" s="16">
        <f t="shared" ca="1" si="21"/>
        <v>28</v>
      </c>
      <c r="H113" s="16">
        <f t="shared" ca="1" si="4"/>
        <v>2.5</v>
      </c>
      <c r="I113" s="16">
        <f t="shared" ca="1" si="5"/>
        <v>3.32</v>
      </c>
      <c r="J113" s="16">
        <f t="shared" ca="1" si="22"/>
        <v>8.2999999999999989</v>
      </c>
      <c r="K113" s="15" t="str" cm="1">
        <f t="array" aca="1" ref="K113" ca="1">INDEX(Lists!$D$1:$D$4, RANDBETWEEN(1,4))</f>
        <v>Ahmed</v>
      </c>
      <c r="L113" s="16" t="str">
        <f t="shared" si="23"/>
        <v>2025-01</v>
      </c>
      <c r="M113" s="16">
        <f t="shared" si="24"/>
        <v>2025</v>
      </c>
      <c r="N113" s="17">
        <f t="shared" ca="1" si="25"/>
        <v>11.2</v>
      </c>
      <c r="O113" s="16" t="str">
        <f t="shared" ca="1" si="26"/>
        <v>Medium</v>
      </c>
    </row>
    <row r="114" spans="1:15">
      <c r="A114" s="14">
        <v>45678</v>
      </c>
      <c r="B114" s="15" t="str" cm="1">
        <f t="array" aca="1" ref="B114" ca="1">INDEX(Lists!$A$1:$A$6, RANDBETWEEN(1,6))</f>
        <v>Bobcat</v>
      </c>
      <c r="C114" s="15" t="str">
        <f ca="1">_xlfn.XLOOKUP(B114, Lists!$A$1:$A$6, Lists!$B$1:$B$6)</f>
        <v>BC1(10931016)</v>
      </c>
      <c r="D114" s="15" t="str" cm="1">
        <f t="array" aca="1" ref="D114" ca="1">INDEX(Lists!$C$1:$C$3, RANDBETWEEN(1,3))</f>
        <v>Operations</v>
      </c>
      <c r="E114" s="16">
        <f t="shared" ca="1" si="1"/>
        <v>2799</v>
      </c>
      <c r="F114" s="16">
        <f t="shared" ca="1" si="2"/>
        <v>2860</v>
      </c>
      <c r="G114" s="16">
        <f t="shared" ca="1" si="21"/>
        <v>61</v>
      </c>
      <c r="H114" s="16">
        <f t="shared" ca="1" si="4"/>
        <v>8</v>
      </c>
      <c r="I114" s="16">
        <f t="shared" ca="1" si="5"/>
        <v>3.36</v>
      </c>
      <c r="J114" s="16">
        <f t="shared" ca="1" si="22"/>
        <v>26.88</v>
      </c>
      <c r="K114" s="15" t="str" cm="1">
        <f t="array" aca="1" ref="K114" ca="1">INDEX(Lists!$D$1:$D$4, RANDBETWEEN(1,4))</f>
        <v>Jose</v>
      </c>
      <c r="L114" s="16" t="str">
        <f t="shared" si="23"/>
        <v>2025-01</v>
      </c>
      <c r="M114" s="16">
        <f t="shared" si="24"/>
        <v>2025</v>
      </c>
      <c r="N114" s="17">
        <f t="shared" ca="1" si="25"/>
        <v>7.625</v>
      </c>
      <c r="O114" s="16" t="str">
        <f t="shared" ca="1" si="26"/>
        <v>Long</v>
      </c>
    </row>
    <row r="115" spans="1:15">
      <c r="A115" s="14">
        <v>45679</v>
      </c>
      <c r="B115" s="15" t="str" cm="1">
        <f t="array" aca="1" ref="B115" ca="1">INDEX(Lists!$A$1:$A$6, RANDBETWEEN(1,6))</f>
        <v>Front End Loader</v>
      </c>
      <c r="C115" s="15" t="str">
        <f ca="1">_xlfn.XLOOKUP(B115, Lists!$A$1:$A$6, Lists!$B$1:$B$6)</f>
        <v>FE1(10930360)</v>
      </c>
      <c r="D115" s="15" t="str" cm="1">
        <f t="array" aca="1" ref="D115" ca="1">INDEX(Lists!$C$1:$C$3, RANDBETWEEN(1,3))</f>
        <v>Yard</v>
      </c>
      <c r="E115" s="16">
        <f t="shared" ca="1" si="1"/>
        <v>4948</v>
      </c>
      <c r="F115" s="16">
        <f t="shared" ca="1" si="2"/>
        <v>5001</v>
      </c>
      <c r="G115" s="16">
        <f t="shared" ca="1" si="21"/>
        <v>53</v>
      </c>
      <c r="H115" s="16">
        <f t="shared" ca="1" si="4"/>
        <v>10</v>
      </c>
      <c r="I115" s="16">
        <f t="shared" ca="1" si="5"/>
        <v>3.22</v>
      </c>
      <c r="J115" s="16">
        <f t="shared" ca="1" si="22"/>
        <v>32.200000000000003</v>
      </c>
      <c r="K115" s="15" t="str" cm="1">
        <f t="array" aca="1" ref="K115" ca="1">INDEX(Lists!$D$1:$D$4, RANDBETWEEN(1,4))</f>
        <v>Maria</v>
      </c>
      <c r="L115" s="16" t="str">
        <f t="shared" si="23"/>
        <v>2025-01</v>
      </c>
      <c r="M115" s="16">
        <f t="shared" si="24"/>
        <v>2025</v>
      </c>
      <c r="N115" s="17">
        <f t="shared" ca="1" si="25"/>
        <v>5.3</v>
      </c>
      <c r="O115" s="16" t="str">
        <f t="shared" ca="1" si="26"/>
        <v>Long</v>
      </c>
    </row>
    <row r="116" spans="1:15">
      <c r="A116" s="14">
        <v>45680</v>
      </c>
      <c r="B116" s="15" t="str" cm="1">
        <f t="array" aca="1" ref="B116" ca="1">INDEX(Lists!$A$1:$A$6, RANDBETWEEN(1,6))</f>
        <v>Mini Excavator</v>
      </c>
      <c r="C116" s="15" t="str">
        <f ca="1">_xlfn.XLOOKUP(B116, Lists!$A$1:$A$6, Lists!$B$1:$B$6)</f>
        <v>ME6(10682709)</v>
      </c>
      <c r="D116" s="15" t="str" cm="1">
        <f t="array" aca="1" ref="D116" ca="1">INDEX(Lists!$C$1:$C$3, RANDBETWEEN(1,3))</f>
        <v>Operations</v>
      </c>
      <c r="E116" s="16">
        <f t="shared" ca="1" si="1"/>
        <v>3425</v>
      </c>
      <c r="F116" s="16">
        <f t="shared" ca="1" si="2"/>
        <v>3462</v>
      </c>
      <c r="G116" s="16">
        <f t="shared" ca="1" si="21"/>
        <v>37</v>
      </c>
      <c r="H116" s="16">
        <f t="shared" ca="1" si="4"/>
        <v>9</v>
      </c>
      <c r="I116" s="16">
        <f t="shared" ca="1" si="5"/>
        <v>3.22</v>
      </c>
      <c r="J116" s="16">
        <f t="shared" ca="1" si="22"/>
        <v>28.98</v>
      </c>
      <c r="K116" s="15" t="str" cm="1">
        <f t="array" aca="1" ref="K116" ca="1">INDEX(Lists!$D$1:$D$4, RANDBETWEEN(1,4))</f>
        <v>Maria</v>
      </c>
      <c r="L116" s="16" t="str">
        <f t="shared" si="23"/>
        <v>2025-01</v>
      </c>
      <c r="M116" s="16">
        <f t="shared" si="24"/>
        <v>2025</v>
      </c>
      <c r="N116" s="17">
        <f t="shared" ca="1" si="25"/>
        <v>4.1111111111111107</v>
      </c>
      <c r="O116" s="16" t="str">
        <f t="shared" ca="1" si="26"/>
        <v>Medium</v>
      </c>
    </row>
    <row r="117" spans="1:15">
      <c r="A117" s="14">
        <v>45681</v>
      </c>
      <c r="B117" s="15" t="str" cm="1">
        <f t="array" aca="1" ref="B117" ca="1">INDEX(Lists!$A$1:$A$6, RANDBETWEEN(1,6))</f>
        <v>Welding Machine</v>
      </c>
      <c r="C117" s="15" t="str">
        <f ca="1">_xlfn.XLOOKUP(B117, Lists!$A$1:$A$6, Lists!$B$1:$B$6)</f>
        <v>WM12(WD5-000729)</v>
      </c>
      <c r="D117" s="15" t="str" cm="1">
        <f t="array" aca="1" ref="D117" ca="1">INDEX(Lists!$C$1:$C$3, RANDBETWEEN(1,3))</f>
        <v>Maintenance</v>
      </c>
      <c r="E117" s="16">
        <f t="shared" ca="1" si="1"/>
        <v>2410</v>
      </c>
      <c r="F117" s="16">
        <f t="shared" ca="1" si="2"/>
        <v>2419</v>
      </c>
      <c r="G117" s="16">
        <f t="shared" ca="1" si="21"/>
        <v>9</v>
      </c>
      <c r="H117" s="16">
        <f t="shared" ca="1" si="4"/>
        <v>9.5</v>
      </c>
      <c r="I117" s="16">
        <f t="shared" ca="1" si="5"/>
        <v>3.37</v>
      </c>
      <c r="J117" s="16">
        <f t="shared" ca="1" si="22"/>
        <v>32.015000000000001</v>
      </c>
      <c r="K117" s="15" t="str" cm="1">
        <f t="array" aca="1" ref="K117" ca="1">INDEX(Lists!$D$1:$D$4, RANDBETWEEN(1,4))</f>
        <v>Maria</v>
      </c>
      <c r="L117" s="16" t="str">
        <f t="shared" si="23"/>
        <v>2025-01</v>
      </c>
      <c r="M117" s="16">
        <f t="shared" si="24"/>
        <v>2025</v>
      </c>
      <c r="N117" s="17">
        <f t="shared" ca="1" si="25"/>
        <v>0.94736842105263153</v>
      </c>
      <c r="O117" s="16" t="str">
        <f t="shared" ca="1" si="26"/>
        <v>Short</v>
      </c>
    </row>
    <row r="118" spans="1:15">
      <c r="A118" s="14">
        <v>45682</v>
      </c>
      <c r="B118" s="15" t="str" cm="1">
        <f t="array" aca="1" ref="B118" ca="1">INDEX(Lists!$A$1:$A$6, RANDBETWEEN(1,6))</f>
        <v>Front End Loader</v>
      </c>
      <c r="C118" s="15" t="str">
        <f ca="1">_xlfn.XLOOKUP(B118, Lists!$A$1:$A$6, Lists!$B$1:$B$6)</f>
        <v>FE1(10930360)</v>
      </c>
      <c r="D118" s="15" t="str" cm="1">
        <f t="array" aca="1" ref="D118" ca="1">INDEX(Lists!$C$1:$C$3, RANDBETWEEN(1,3))</f>
        <v>Maintenance</v>
      </c>
      <c r="E118" s="16">
        <f t="shared" ca="1" si="1"/>
        <v>1199</v>
      </c>
      <c r="F118" s="16">
        <f t="shared" ca="1" si="2"/>
        <v>1246</v>
      </c>
      <c r="G118" s="16">
        <f t="shared" ca="1" si="21"/>
        <v>47</v>
      </c>
      <c r="H118" s="16">
        <f t="shared" ca="1" si="4"/>
        <v>9.5</v>
      </c>
      <c r="I118" s="16">
        <f t="shared" ca="1" si="5"/>
        <v>3.25</v>
      </c>
      <c r="J118" s="16">
        <f t="shared" ca="1" si="22"/>
        <v>30.875</v>
      </c>
      <c r="K118" s="15" t="str" cm="1">
        <f t="array" aca="1" ref="K118" ca="1">INDEX(Lists!$D$1:$D$4, RANDBETWEEN(1,4))</f>
        <v>Ravi</v>
      </c>
      <c r="L118" s="16" t="str">
        <f t="shared" si="23"/>
        <v>2025-01</v>
      </c>
      <c r="M118" s="16">
        <f t="shared" si="24"/>
        <v>2025</v>
      </c>
      <c r="N118" s="17">
        <f t="shared" ca="1" si="25"/>
        <v>4.9473684210526319</v>
      </c>
      <c r="O118" s="16" t="str">
        <f t="shared" ca="1" si="26"/>
        <v>Medium</v>
      </c>
    </row>
    <row r="119" spans="1:15">
      <c r="A119" s="14">
        <v>45683</v>
      </c>
      <c r="B119" s="15" t="str" cm="1">
        <f t="array" aca="1" ref="B119" ca="1">INDEX(Lists!$A$1:$A$6, RANDBETWEEN(1,6))</f>
        <v>Mini Excavator</v>
      </c>
      <c r="C119" s="15" t="str">
        <f ca="1">_xlfn.XLOOKUP(B119, Lists!$A$1:$A$6, Lists!$B$1:$B$6)</f>
        <v>ME6(10682709)</v>
      </c>
      <c r="D119" s="15" t="str" cm="1">
        <f t="array" aca="1" ref="D119" ca="1">INDEX(Lists!$C$1:$C$3, RANDBETWEEN(1,3))</f>
        <v>Yard</v>
      </c>
      <c r="E119" s="16">
        <f t="shared" ca="1" si="1"/>
        <v>3587</v>
      </c>
      <c r="F119" s="16">
        <f t="shared" ca="1" si="2"/>
        <v>3639</v>
      </c>
      <c r="G119" s="16">
        <f t="shared" ca="1" si="21"/>
        <v>52</v>
      </c>
      <c r="H119" s="16">
        <f t="shared" ca="1" si="4"/>
        <v>4</v>
      </c>
      <c r="I119" s="16">
        <f t="shared" ca="1" si="5"/>
        <v>3.6</v>
      </c>
      <c r="J119" s="16">
        <f t="shared" ca="1" si="22"/>
        <v>14.4</v>
      </c>
      <c r="K119" s="15" t="str" cm="1">
        <f t="array" aca="1" ref="K119" ca="1">INDEX(Lists!$D$1:$D$4, RANDBETWEEN(1,4))</f>
        <v>Ahmed</v>
      </c>
      <c r="L119" s="16" t="str">
        <f t="shared" si="23"/>
        <v>2025-01</v>
      </c>
      <c r="M119" s="16">
        <f t="shared" si="24"/>
        <v>2025</v>
      </c>
      <c r="N119" s="17">
        <f t="shared" ca="1" si="25"/>
        <v>13</v>
      </c>
      <c r="O119" s="16" t="str">
        <f t="shared" ca="1" si="26"/>
        <v>Long</v>
      </c>
    </row>
    <row r="120" spans="1:15">
      <c r="A120" s="14">
        <v>45684</v>
      </c>
      <c r="B120" s="15" t="str" cm="1">
        <f t="array" aca="1" ref="B120" ca="1">INDEX(Lists!$A$1:$A$6, RANDBETWEEN(1,6))</f>
        <v>Forklift</v>
      </c>
      <c r="C120" s="15" t="str">
        <f ca="1">_xlfn.XLOOKUP(B120, Lists!$A$1:$A$6, Lists!$B$1:$B$6)</f>
        <v>F7(217595AH)</v>
      </c>
      <c r="D120" s="15" t="str" cm="1">
        <f t="array" aca="1" ref="D120" ca="1">INDEX(Lists!$C$1:$C$3, RANDBETWEEN(1,3))</f>
        <v>Yard</v>
      </c>
      <c r="E120" s="16">
        <f t="shared" ca="1" si="1"/>
        <v>1657</v>
      </c>
      <c r="F120" s="16">
        <f t="shared" ca="1" si="2"/>
        <v>1670</v>
      </c>
      <c r="G120" s="16">
        <f t="shared" ca="1" si="21"/>
        <v>13</v>
      </c>
      <c r="H120" s="16">
        <f t="shared" ca="1" si="4"/>
        <v>8.5</v>
      </c>
      <c r="I120" s="16">
        <f t="shared" ca="1" si="5"/>
        <v>3.47</v>
      </c>
      <c r="J120" s="16">
        <f t="shared" ca="1" si="22"/>
        <v>29.495000000000001</v>
      </c>
      <c r="K120" s="15" t="str" cm="1">
        <f t="array" aca="1" ref="K120" ca="1">INDEX(Lists!$D$1:$D$4, RANDBETWEEN(1,4))</f>
        <v>Ravi</v>
      </c>
      <c r="L120" s="16" t="str">
        <f t="shared" si="23"/>
        <v>2025-01</v>
      </c>
      <c r="M120" s="16">
        <f t="shared" si="24"/>
        <v>2025</v>
      </c>
      <c r="N120" s="17">
        <f t="shared" ca="1" si="25"/>
        <v>1.5294117647058822</v>
      </c>
      <c r="O120" s="16" t="str">
        <f t="shared" ca="1" si="26"/>
        <v>Short</v>
      </c>
    </row>
    <row r="121" spans="1:15">
      <c r="A121" s="14">
        <v>45685</v>
      </c>
      <c r="B121" s="15" t="str" cm="1">
        <f t="array" aca="1" ref="B121" ca="1">INDEX(Lists!$A$1:$A$6, RANDBETWEEN(1,6))</f>
        <v>Front End Loader</v>
      </c>
      <c r="C121" s="15" t="str">
        <f ca="1">_xlfn.XLOOKUP(B121, Lists!$A$1:$A$6, Lists!$B$1:$B$6)</f>
        <v>FE1(10930360)</v>
      </c>
      <c r="D121" s="15" t="str" cm="1">
        <f t="array" aca="1" ref="D121" ca="1">INDEX(Lists!$C$1:$C$3, RANDBETWEEN(1,3))</f>
        <v>Maintenance</v>
      </c>
      <c r="E121" s="16">
        <f t="shared" ca="1" si="1"/>
        <v>4217</v>
      </c>
      <c r="F121" s="16">
        <f t="shared" ca="1" si="2"/>
        <v>4248</v>
      </c>
      <c r="G121" s="16">
        <f t="shared" ca="1" si="21"/>
        <v>31</v>
      </c>
      <c r="H121" s="16">
        <f t="shared" ca="1" si="4"/>
        <v>11</v>
      </c>
      <c r="I121" s="16">
        <f t="shared" ca="1" si="5"/>
        <v>3.23</v>
      </c>
      <c r="J121" s="16">
        <f t="shared" ca="1" si="22"/>
        <v>35.53</v>
      </c>
      <c r="K121" s="15" t="str" cm="1">
        <f t="array" aca="1" ref="K121" ca="1">INDEX(Lists!$D$1:$D$4, RANDBETWEEN(1,4))</f>
        <v>Ravi</v>
      </c>
      <c r="L121" s="16" t="str">
        <f t="shared" si="23"/>
        <v>2025-01</v>
      </c>
      <c r="M121" s="16">
        <f t="shared" si="24"/>
        <v>2025</v>
      </c>
      <c r="N121" s="17">
        <f t="shared" ca="1" si="25"/>
        <v>2.8181818181818183</v>
      </c>
      <c r="O121" s="16" t="str">
        <f t="shared" ca="1" si="26"/>
        <v>Medium</v>
      </c>
    </row>
    <row r="122" spans="1:15">
      <c r="A122" s="14">
        <v>45686</v>
      </c>
      <c r="B122" s="15" t="str" cm="1">
        <f t="array" aca="1" ref="B122" ca="1">INDEX(Lists!$A$1:$A$6, RANDBETWEEN(1,6))</f>
        <v>Front End Loader</v>
      </c>
      <c r="C122" s="15" t="str">
        <f ca="1">_xlfn.XLOOKUP(B122, Lists!$A$1:$A$6, Lists!$B$1:$B$6)</f>
        <v>FE1(10930360)</v>
      </c>
      <c r="D122" s="15" t="str" cm="1">
        <f t="array" aca="1" ref="D122" ca="1">INDEX(Lists!$C$1:$C$3, RANDBETWEEN(1,3))</f>
        <v>Yard</v>
      </c>
      <c r="E122" s="16">
        <f t="shared" ca="1" si="1"/>
        <v>569</v>
      </c>
      <c r="F122" s="16">
        <f t="shared" ca="1" si="2"/>
        <v>649</v>
      </c>
      <c r="G122" s="16">
        <f t="shared" ca="1" si="21"/>
        <v>80</v>
      </c>
      <c r="H122" s="16">
        <f t="shared" ca="1" si="4"/>
        <v>8</v>
      </c>
      <c r="I122" s="16">
        <f t="shared" ca="1" si="5"/>
        <v>3.49</v>
      </c>
      <c r="J122" s="16">
        <f t="shared" ca="1" si="22"/>
        <v>27.92</v>
      </c>
      <c r="K122" s="15" t="str" cm="1">
        <f t="array" aca="1" ref="K122" ca="1">INDEX(Lists!$D$1:$D$4, RANDBETWEEN(1,4))</f>
        <v>Maria</v>
      </c>
      <c r="L122" s="16" t="str">
        <f t="shared" si="23"/>
        <v>2025-01</v>
      </c>
      <c r="M122" s="16">
        <f t="shared" si="24"/>
        <v>2025</v>
      </c>
      <c r="N122" s="17">
        <f t="shared" ca="1" si="25"/>
        <v>10</v>
      </c>
      <c r="O122" s="16" t="str">
        <f t="shared" ca="1" si="26"/>
        <v>Long</v>
      </c>
    </row>
    <row r="123" spans="1:15">
      <c r="A123" s="14">
        <v>45687</v>
      </c>
      <c r="B123" s="15" t="str" cm="1">
        <f t="array" aca="1" ref="B123" ca="1">INDEX(Lists!$A$1:$A$6, RANDBETWEEN(1,6))</f>
        <v>Bobcat</v>
      </c>
      <c r="C123" s="15" t="str">
        <f ca="1">_xlfn.XLOOKUP(B123, Lists!$A$1:$A$6, Lists!$B$1:$B$6)</f>
        <v>BC1(10931016)</v>
      </c>
      <c r="D123" s="15" t="str" cm="1">
        <f t="array" aca="1" ref="D123" ca="1">INDEX(Lists!$C$1:$C$3, RANDBETWEEN(1,3))</f>
        <v>Maintenance</v>
      </c>
      <c r="E123" s="16">
        <f t="shared" ca="1" si="1"/>
        <v>1866</v>
      </c>
      <c r="F123" s="16">
        <f t="shared" ca="1" si="2"/>
        <v>1888</v>
      </c>
      <c r="G123" s="16">
        <f t="shared" ca="1" si="21"/>
        <v>22</v>
      </c>
      <c r="H123" s="16">
        <f t="shared" ca="1" si="4"/>
        <v>12</v>
      </c>
      <c r="I123" s="16">
        <f t="shared" ca="1" si="5"/>
        <v>3.39</v>
      </c>
      <c r="J123" s="16">
        <f t="shared" ca="1" si="22"/>
        <v>40.68</v>
      </c>
      <c r="K123" s="15" t="str" cm="1">
        <f t="array" aca="1" ref="K123" ca="1">INDEX(Lists!$D$1:$D$4, RANDBETWEEN(1,4))</f>
        <v>Jose</v>
      </c>
      <c r="L123" s="16" t="str">
        <f t="shared" si="23"/>
        <v>2025-01</v>
      </c>
      <c r="M123" s="16">
        <f t="shared" si="24"/>
        <v>2025</v>
      </c>
      <c r="N123" s="17">
        <f t="shared" ca="1" si="25"/>
        <v>1.8333333333333333</v>
      </c>
      <c r="O123" s="16" t="str">
        <f t="shared" ca="1" si="26"/>
        <v>Medium</v>
      </c>
    </row>
    <row r="124" spans="1:15">
      <c r="A124" s="14">
        <v>45688</v>
      </c>
      <c r="B124" s="15" t="str" cm="1">
        <f t="array" aca="1" ref="B124" ca="1">INDEX(Lists!$A$1:$A$6, RANDBETWEEN(1,6))</f>
        <v>Bobcat</v>
      </c>
      <c r="C124" s="15" t="str">
        <f ca="1">_xlfn.XLOOKUP(B124, Lists!$A$1:$A$6, Lists!$B$1:$B$6)</f>
        <v>BC1(10931016)</v>
      </c>
      <c r="D124" s="15" t="str" cm="1">
        <f t="array" aca="1" ref="D124" ca="1">INDEX(Lists!$C$1:$C$3, RANDBETWEEN(1,3))</f>
        <v>Operations</v>
      </c>
      <c r="E124" s="16">
        <f t="shared" ca="1" si="1"/>
        <v>2563</v>
      </c>
      <c r="F124" s="16">
        <f t="shared" ca="1" si="2"/>
        <v>2630</v>
      </c>
      <c r="G124" s="16">
        <f t="shared" ca="1" si="21"/>
        <v>67</v>
      </c>
      <c r="H124" s="16">
        <f t="shared" ca="1" si="4"/>
        <v>9.5</v>
      </c>
      <c r="I124" s="16">
        <f t="shared" ca="1" si="5"/>
        <v>3.68</v>
      </c>
      <c r="J124" s="16">
        <f t="shared" ca="1" si="22"/>
        <v>34.96</v>
      </c>
      <c r="K124" s="15" t="str" cm="1">
        <f t="array" aca="1" ref="K124" ca="1">INDEX(Lists!$D$1:$D$4, RANDBETWEEN(1,4))</f>
        <v>Ravi</v>
      </c>
      <c r="L124" s="16" t="str">
        <f t="shared" si="23"/>
        <v>2025-01</v>
      </c>
      <c r="M124" s="16">
        <f t="shared" si="24"/>
        <v>2025</v>
      </c>
      <c r="N124" s="17">
        <f t="shared" ca="1" si="25"/>
        <v>7.0526315789473681</v>
      </c>
      <c r="O124" s="16" t="str">
        <f t="shared" ca="1" si="26"/>
        <v>Long</v>
      </c>
    </row>
    <row r="125" spans="1:15">
      <c r="A125" s="14">
        <v>45689</v>
      </c>
      <c r="B125" s="15" t="str" cm="1">
        <f t="array" aca="1" ref="B125" ca="1">INDEX(Lists!$A$1:$A$6, RANDBETWEEN(1,6))</f>
        <v>Welding Machine</v>
      </c>
      <c r="C125" s="15" t="str">
        <f ca="1">_xlfn.XLOOKUP(B125, Lists!$A$1:$A$6, Lists!$B$1:$B$6)</f>
        <v>WM12(WD5-000729)</v>
      </c>
      <c r="D125" s="15" t="str" cm="1">
        <f t="array" aca="1" ref="D125" ca="1">INDEX(Lists!$C$1:$C$3, RANDBETWEEN(1,3))</f>
        <v>Maintenance</v>
      </c>
      <c r="E125" s="16">
        <f t="shared" ca="1" si="1"/>
        <v>1509</v>
      </c>
      <c r="F125" s="16">
        <f t="shared" ca="1" si="2"/>
        <v>1541</v>
      </c>
      <c r="G125" s="16">
        <f t="shared" ca="1" si="21"/>
        <v>32</v>
      </c>
      <c r="H125" s="16">
        <f t="shared" ca="1" si="4"/>
        <v>7</v>
      </c>
      <c r="I125" s="16">
        <f t="shared" ca="1" si="5"/>
        <v>3.55</v>
      </c>
      <c r="J125" s="16">
        <f t="shared" ca="1" si="22"/>
        <v>24.849999999999998</v>
      </c>
      <c r="K125" s="15" t="str" cm="1">
        <f t="array" aca="1" ref="K125" ca="1">INDEX(Lists!$D$1:$D$4, RANDBETWEEN(1,4))</f>
        <v>Ahmed</v>
      </c>
      <c r="L125" s="16" t="str">
        <f t="shared" si="23"/>
        <v>2025-02</v>
      </c>
      <c r="M125" s="16">
        <f t="shared" si="24"/>
        <v>2025</v>
      </c>
      <c r="N125" s="17">
        <f t="shared" ca="1" si="25"/>
        <v>4.5714285714285712</v>
      </c>
      <c r="O125" s="16" t="str">
        <f t="shared" ca="1" si="26"/>
        <v>Medium</v>
      </c>
    </row>
    <row r="126" spans="1:15">
      <c r="A126" s="14">
        <v>45690</v>
      </c>
      <c r="B126" s="15" t="str" cm="1">
        <f t="array" aca="1" ref="B126" ca="1">INDEX(Lists!$A$1:$A$6, RANDBETWEEN(1,6))</f>
        <v>Boom Lift</v>
      </c>
      <c r="C126" s="15" t="str">
        <f ca="1">_xlfn.XLOOKUP(B126, Lists!$A$1:$A$6, Lists!$B$1:$B$6)</f>
        <v>BL8(1047802)</v>
      </c>
      <c r="D126" s="15" t="str" cm="1">
        <f t="array" aca="1" ref="D126" ca="1">INDEX(Lists!$C$1:$C$3, RANDBETWEEN(1,3))</f>
        <v>Yard</v>
      </c>
      <c r="E126" s="16">
        <f t="shared" ref="E126" ca="1" si="27">RANDBETWEEN(500,5000)</f>
        <v>2215</v>
      </c>
      <c r="F126" s="16">
        <f t="shared" ref="F126" ca="1" si="28">E126 + RANDBETWEEN(5,80)</f>
        <v>2253</v>
      </c>
      <c r="G126" s="16">
        <f t="shared" ca="1" si="21"/>
        <v>38</v>
      </c>
      <c r="H126" s="16">
        <f t="shared" ref="H126" ca="1" si="29">ROUND(RANDBETWEEN(5,25)*0.5,1)</f>
        <v>12</v>
      </c>
      <c r="I126" s="16">
        <f t="shared" ref="I126" ca="1" si="30">ROUND(3.2 + RAND()*0.6, 2)</f>
        <v>3.21</v>
      </c>
      <c r="J126" s="16">
        <f t="shared" ca="1" si="22"/>
        <v>38.519999999999996</v>
      </c>
      <c r="K126" s="15" t="str" cm="1">
        <f t="array" aca="1" ref="K126" ca="1">INDEX(Lists!$D$1:$D$4, RANDBETWEEN(1,4))</f>
        <v>Maria</v>
      </c>
      <c r="L126" s="16" t="str">
        <f t="shared" si="23"/>
        <v>2025-02</v>
      </c>
      <c r="M126" s="16">
        <f t="shared" si="24"/>
        <v>2025</v>
      </c>
      <c r="N126" s="17">
        <f t="shared" ca="1" si="25"/>
        <v>3.1666666666666665</v>
      </c>
      <c r="O126" s="16" t="str">
        <f t="shared" ca="1" si="26"/>
        <v>Medium</v>
      </c>
    </row>
    <row r="127" spans="1:15">
      <c r="A127" s="14">
        <v>45691</v>
      </c>
      <c r="B127" s="15" t="str" cm="1">
        <f t="array" aca="1" ref="B127" ca="1">INDEX(Lists!$A$1:$A$6, RANDBETWEEN(1,6))</f>
        <v>Boom Lift</v>
      </c>
      <c r="C127" s="15" t="str">
        <f ca="1">_xlfn.XLOOKUP(B127, Lists!$A$1:$A$6, Lists!$B$1:$B$6)</f>
        <v>BL8(1047802)</v>
      </c>
      <c r="D127" s="15" t="str" cm="1">
        <f t="array" aca="1" ref="D127" ca="1">INDEX(Lists!$C$1:$C$3, RANDBETWEEN(1,3))</f>
        <v>Maintenance</v>
      </c>
      <c r="E127" s="16">
        <f t="shared" ca="1" si="1"/>
        <v>3907</v>
      </c>
      <c r="F127" s="16">
        <f t="shared" ca="1" si="2"/>
        <v>3957</v>
      </c>
      <c r="G127" s="16">
        <f t="shared" ca="1" si="21"/>
        <v>50</v>
      </c>
      <c r="H127" s="16">
        <f t="shared" ca="1" si="4"/>
        <v>4</v>
      </c>
      <c r="I127" s="16">
        <f t="shared" ca="1" si="5"/>
        <v>3.67</v>
      </c>
      <c r="J127" s="16">
        <f t="shared" ca="1" si="22"/>
        <v>14.68</v>
      </c>
      <c r="K127" s="15" t="str" cm="1">
        <f t="array" aca="1" ref="K127" ca="1">INDEX(Lists!$D$1:$D$4, RANDBETWEEN(1,4))</f>
        <v>Maria</v>
      </c>
      <c r="L127" s="16" t="str">
        <f t="shared" si="23"/>
        <v>2025-02</v>
      </c>
      <c r="M127" s="16">
        <f t="shared" si="24"/>
        <v>2025</v>
      </c>
      <c r="N127" s="17">
        <f t="shared" ca="1" si="25"/>
        <v>12.5</v>
      </c>
      <c r="O127" s="16" t="str">
        <f t="shared" ca="1" si="26"/>
        <v>Medium</v>
      </c>
    </row>
    <row r="128" spans="1:15">
      <c r="A128" s="14">
        <v>45692</v>
      </c>
      <c r="B128" s="15" t="str" cm="1">
        <f t="array" aca="1" ref="B128" ca="1">INDEX(Lists!$A$1:$A$6, RANDBETWEEN(1,6))</f>
        <v>Boom Lift</v>
      </c>
      <c r="C128" s="15" t="str">
        <f ca="1">_xlfn.XLOOKUP(B128, Lists!$A$1:$A$6, Lists!$B$1:$B$6)</f>
        <v>BL8(1047802)</v>
      </c>
      <c r="D128" s="15" t="str" cm="1">
        <f t="array" aca="1" ref="D128" ca="1">INDEX(Lists!$C$1:$C$3, RANDBETWEEN(1,3))</f>
        <v>Yard</v>
      </c>
      <c r="E128" s="16">
        <f t="shared" ca="1" si="1"/>
        <v>857</v>
      </c>
      <c r="F128" s="16">
        <f t="shared" ca="1" si="2"/>
        <v>909</v>
      </c>
      <c r="G128" s="16">
        <f t="shared" ca="1" si="21"/>
        <v>52</v>
      </c>
      <c r="H128" s="16">
        <f t="shared" ca="1" si="4"/>
        <v>6.5</v>
      </c>
      <c r="I128" s="16">
        <f t="shared" ca="1" si="5"/>
        <v>3.76</v>
      </c>
      <c r="J128" s="16">
        <f t="shared" ca="1" si="22"/>
        <v>24.439999999999998</v>
      </c>
      <c r="K128" s="15" t="str" cm="1">
        <f t="array" aca="1" ref="K128" ca="1">INDEX(Lists!$D$1:$D$4, RANDBETWEEN(1,4))</f>
        <v>Jose</v>
      </c>
      <c r="L128" s="16" t="str">
        <f t="shared" si="23"/>
        <v>2025-02</v>
      </c>
      <c r="M128" s="16">
        <f t="shared" si="24"/>
        <v>2025</v>
      </c>
      <c r="N128" s="17">
        <f t="shared" ca="1" si="25"/>
        <v>8</v>
      </c>
      <c r="O128" s="16" t="str">
        <f t="shared" ca="1" si="26"/>
        <v>Long</v>
      </c>
    </row>
    <row r="129" spans="1:15">
      <c r="A129" s="14">
        <v>45693</v>
      </c>
      <c r="B129" s="15" t="str" cm="1">
        <f t="array" aca="1" ref="B129" ca="1">INDEX(Lists!$A$1:$A$6, RANDBETWEEN(1,6))</f>
        <v>Boom Lift</v>
      </c>
      <c r="C129" s="15" t="str">
        <f ca="1">_xlfn.XLOOKUP(B129, Lists!$A$1:$A$6, Lists!$B$1:$B$6)</f>
        <v>BL8(1047802)</v>
      </c>
      <c r="D129" s="15" t="str" cm="1">
        <f t="array" aca="1" ref="D129" ca="1">INDEX(Lists!$C$1:$C$3, RANDBETWEEN(1,3))</f>
        <v>Maintenance</v>
      </c>
      <c r="E129" s="16">
        <f t="shared" ca="1" si="1"/>
        <v>3140</v>
      </c>
      <c r="F129" s="16">
        <f t="shared" ca="1" si="2"/>
        <v>3179</v>
      </c>
      <c r="G129" s="16">
        <f t="shared" ca="1" si="21"/>
        <v>39</v>
      </c>
      <c r="H129" s="16">
        <f t="shared" ca="1" si="4"/>
        <v>5</v>
      </c>
      <c r="I129" s="16">
        <f t="shared" ca="1" si="5"/>
        <v>3.49</v>
      </c>
      <c r="J129" s="16">
        <f t="shared" ca="1" si="22"/>
        <v>17.450000000000003</v>
      </c>
      <c r="K129" s="15" t="str" cm="1">
        <f t="array" aca="1" ref="K129" ca="1">INDEX(Lists!$D$1:$D$4, RANDBETWEEN(1,4))</f>
        <v>Maria</v>
      </c>
      <c r="L129" s="16" t="str">
        <f t="shared" si="23"/>
        <v>2025-02</v>
      </c>
      <c r="M129" s="16">
        <f t="shared" si="24"/>
        <v>2025</v>
      </c>
      <c r="N129" s="17">
        <f t="shared" ca="1" si="25"/>
        <v>7.8</v>
      </c>
      <c r="O129" s="16" t="str">
        <f t="shared" ca="1" si="26"/>
        <v>Medium</v>
      </c>
    </row>
    <row r="130" spans="1:15">
      <c r="A130" s="14">
        <v>45694</v>
      </c>
      <c r="B130" s="15" t="str" cm="1">
        <f t="array" aca="1" ref="B130" ca="1">INDEX(Lists!$A$1:$A$6, RANDBETWEEN(1,6))</f>
        <v>Forklift</v>
      </c>
      <c r="C130" s="15" t="str">
        <f ca="1">_xlfn.XLOOKUP(B130, Lists!$A$1:$A$6, Lists!$B$1:$B$6)</f>
        <v>F7(217595AH)</v>
      </c>
      <c r="D130" s="15" t="str" cm="1">
        <f t="array" aca="1" ref="D130" ca="1">INDEX(Lists!$C$1:$C$3, RANDBETWEEN(1,3))</f>
        <v>Operations</v>
      </c>
      <c r="E130" s="16">
        <f t="shared" ca="1" si="1"/>
        <v>2458</v>
      </c>
      <c r="F130" s="16">
        <f t="shared" ca="1" si="2"/>
        <v>2501</v>
      </c>
      <c r="G130" s="16">
        <f t="shared" ca="1" si="21"/>
        <v>43</v>
      </c>
      <c r="H130" s="16">
        <f t="shared" ca="1" si="4"/>
        <v>12.5</v>
      </c>
      <c r="I130" s="16">
        <f t="shared" ca="1" si="5"/>
        <v>3.38</v>
      </c>
      <c r="J130" s="16">
        <f t="shared" ca="1" si="22"/>
        <v>42.25</v>
      </c>
      <c r="K130" s="15" t="str" cm="1">
        <f t="array" aca="1" ref="K130" ca="1">INDEX(Lists!$D$1:$D$4, RANDBETWEEN(1,4))</f>
        <v>Ravi</v>
      </c>
      <c r="L130" s="16" t="str">
        <f t="shared" si="23"/>
        <v>2025-02</v>
      </c>
      <c r="M130" s="16">
        <f t="shared" si="24"/>
        <v>2025</v>
      </c>
      <c r="N130" s="17">
        <f t="shared" ca="1" si="25"/>
        <v>3.44</v>
      </c>
      <c r="O130" s="16" t="str">
        <f t="shared" ref="O130:O161" ca="1" si="31">IF(G130&lt;20,"Short", IF(G130&lt;=50,"Medium","Long"))</f>
        <v>Medium</v>
      </c>
    </row>
    <row r="131" spans="1:15">
      <c r="A131" s="14">
        <v>45695</v>
      </c>
      <c r="B131" s="15" t="str" cm="1">
        <f t="array" aca="1" ref="B131" ca="1">INDEX(Lists!$A$1:$A$6, RANDBETWEEN(1,6))</f>
        <v>Forklift</v>
      </c>
      <c r="C131" s="15" t="str">
        <f ca="1">_xlfn.XLOOKUP(B131, Lists!$A$1:$A$6, Lists!$B$1:$B$6)</f>
        <v>F7(217595AH)</v>
      </c>
      <c r="D131" s="15" t="str" cm="1">
        <f t="array" aca="1" ref="D131" ca="1">INDEX(Lists!$C$1:$C$3, RANDBETWEEN(1,3))</f>
        <v>Yard</v>
      </c>
      <c r="E131" s="16">
        <f t="shared" ca="1" si="1"/>
        <v>1329</v>
      </c>
      <c r="F131" s="16">
        <f t="shared" ca="1" si="2"/>
        <v>1361</v>
      </c>
      <c r="G131" s="16">
        <f t="shared" ca="1" si="21"/>
        <v>32</v>
      </c>
      <c r="H131" s="16">
        <f t="shared" ca="1" si="4"/>
        <v>8.5</v>
      </c>
      <c r="I131" s="16">
        <f t="shared" ca="1" si="5"/>
        <v>3.65</v>
      </c>
      <c r="J131" s="16">
        <f t="shared" ca="1" si="22"/>
        <v>31.024999999999999</v>
      </c>
      <c r="K131" s="15" t="str" cm="1">
        <f t="array" aca="1" ref="K131" ca="1">INDEX(Lists!$D$1:$D$4, RANDBETWEEN(1,4))</f>
        <v>Ahmed</v>
      </c>
      <c r="L131" s="16" t="str">
        <f t="shared" si="23"/>
        <v>2025-02</v>
      </c>
      <c r="M131" s="16">
        <f t="shared" si="24"/>
        <v>2025</v>
      </c>
      <c r="N131" s="17">
        <f t="shared" ca="1" si="25"/>
        <v>3.7647058823529411</v>
      </c>
      <c r="O131" s="16" t="str">
        <f t="shared" ca="1" si="31"/>
        <v>Medium</v>
      </c>
    </row>
    <row r="132" spans="1:15">
      <c r="A132" s="14">
        <v>45696</v>
      </c>
      <c r="B132" s="15" t="str" cm="1">
        <f t="array" aca="1" ref="B132" ca="1">INDEX(Lists!$A$1:$A$6, RANDBETWEEN(1,6))</f>
        <v>Forklift</v>
      </c>
      <c r="C132" s="15" t="str">
        <f ca="1">_xlfn.XLOOKUP(B132, Lists!$A$1:$A$6, Lists!$B$1:$B$6)</f>
        <v>F7(217595AH)</v>
      </c>
      <c r="D132" s="15" t="str" cm="1">
        <f t="array" aca="1" ref="D132" ca="1">INDEX(Lists!$C$1:$C$3, RANDBETWEEN(1,3))</f>
        <v>Operations</v>
      </c>
      <c r="E132" s="16">
        <f t="shared" ca="1" si="1"/>
        <v>1289</v>
      </c>
      <c r="F132" s="16">
        <f t="shared" ca="1" si="2"/>
        <v>1318</v>
      </c>
      <c r="G132" s="16">
        <f t="shared" ca="1" si="21"/>
        <v>29</v>
      </c>
      <c r="H132" s="16">
        <f t="shared" ca="1" si="4"/>
        <v>9</v>
      </c>
      <c r="I132" s="16">
        <f t="shared" ca="1" si="5"/>
        <v>3.56</v>
      </c>
      <c r="J132" s="16">
        <f t="shared" ca="1" si="22"/>
        <v>32.04</v>
      </c>
      <c r="K132" s="15" t="str" cm="1">
        <f t="array" aca="1" ref="K132" ca="1">INDEX(Lists!$D$1:$D$4, RANDBETWEEN(1,4))</f>
        <v>Jose</v>
      </c>
      <c r="L132" s="16" t="str">
        <f t="shared" si="23"/>
        <v>2025-02</v>
      </c>
      <c r="M132" s="16">
        <f t="shared" si="24"/>
        <v>2025</v>
      </c>
      <c r="N132" s="17">
        <f t="shared" ca="1" si="25"/>
        <v>3.2222222222222223</v>
      </c>
      <c r="O132" s="16" t="str">
        <f t="shared" ca="1" si="31"/>
        <v>Medium</v>
      </c>
    </row>
    <row r="133" spans="1:15">
      <c r="A133" s="14">
        <v>45697</v>
      </c>
      <c r="B133" s="15" t="str" cm="1">
        <f t="array" aca="1" ref="B133" ca="1">INDEX(Lists!$A$1:$A$6, RANDBETWEEN(1,6))</f>
        <v>Boom Lift</v>
      </c>
      <c r="C133" s="15" t="str">
        <f ca="1">_xlfn.XLOOKUP(B133, Lists!$A$1:$A$6, Lists!$B$1:$B$6)</f>
        <v>BL8(1047802)</v>
      </c>
      <c r="D133" s="15" t="str" cm="1">
        <f t="array" aca="1" ref="D133" ca="1">INDEX(Lists!$C$1:$C$3, RANDBETWEEN(1,3))</f>
        <v>Operations</v>
      </c>
      <c r="E133" s="16">
        <f t="shared" ca="1" si="1"/>
        <v>4268</v>
      </c>
      <c r="F133" s="16">
        <f t="shared" ca="1" si="2"/>
        <v>4332</v>
      </c>
      <c r="G133" s="16">
        <f t="shared" ca="1" si="21"/>
        <v>64</v>
      </c>
      <c r="H133" s="16">
        <f t="shared" ca="1" si="4"/>
        <v>10.5</v>
      </c>
      <c r="I133" s="16">
        <f t="shared" ca="1" si="5"/>
        <v>3.49</v>
      </c>
      <c r="J133" s="16">
        <f t="shared" ca="1" si="22"/>
        <v>36.645000000000003</v>
      </c>
      <c r="K133" s="15" t="str" cm="1">
        <f t="array" aca="1" ref="K133" ca="1">INDEX(Lists!$D$1:$D$4, RANDBETWEEN(1,4))</f>
        <v>Jose</v>
      </c>
      <c r="L133" s="16" t="str">
        <f t="shared" si="23"/>
        <v>2025-02</v>
      </c>
      <c r="M133" s="16">
        <f t="shared" si="24"/>
        <v>2025</v>
      </c>
      <c r="N133" s="17">
        <f t="shared" ca="1" si="25"/>
        <v>6.0952380952380949</v>
      </c>
      <c r="O133" s="16" t="str">
        <f t="shared" ca="1" si="31"/>
        <v>Long</v>
      </c>
    </row>
    <row r="134" spans="1:15">
      <c r="A134" s="14">
        <v>45698</v>
      </c>
      <c r="B134" s="15" t="str" cm="1">
        <f t="array" aca="1" ref="B134" ca="1">INDEX(Lists!$A$1:$A$6, RANDBETWEEN(1,6))</f>
        <v>Boom Lift</v>
      </c>
      <c r="C134" s="15" t="str">
        <f ca="1">_xlfn.XLOOKUP(B134, Lists!$A$1:$A$6, Lists!$B$1:$B$6)</f>
        <v>BL8(1047802)</v>
      </c>
      <c r="D134" s="15" t="str" cm="1">
        <f t="array" aca="1" ref="D134" ca="1">INDEX(Lists!$C$1:$C$3, RANDBETWEEN(1,3))</f>
        <v>Maintenance</v>
      </c>
      <c r="E134" s="16">
        <f t="shared" ca="1" si="1"/>
        <v>1629</v>
      </c>
      <c r="F134" s="16">
        <f t="shared" ca="1" si="2"/>
        <v>1689</v>
      </c>
      <c r="G134" s="16">
        <f t="shared" ca="1" si="21"/>
        <v>60</v>
      </c>
      <c r="H134" s="16">
        <f t="shared" ca="1" si="4"/>
        <v>5</v>
      </c>
      <c r="I134" s="16">
        <f t="shared" ca="1" si="5"/>
        <v>3.47</v>
      </c>
      <c r="J134" s="16">
        <f t="shared" ca="1" si="22"/>
        <v>17.350000000000001</v>
      </c>
      <c r="K134" s="15" t="str" cm="1">
        <f t="array" aca="1" ref="K134" ca="1">INDEX(Lists!$D$1:$D$4, RANDBETWEEN(1,4))</f>
        <v>Ravi</v>
      </c>
      <c r="L134" s="16" t="str">
        <f t="shared" si="23"/>
        <v>2025-02</v>
      </c>
      <c r="M134" s="16">
        <f t="shared" si="24"/>
        <v>2025</v>
      </c>
      <c r="N134" s="17">
        <f t="shared" ca="1" si="25"/>
        <v>12</v>
      </c>
      <c r="O134" s="16" t="str">
        <f t="shared" ca="1" si="31"/>
        <v>Long</v>
      </c>
    </row>
    <row r="135" spans="1:15">
      <c r="A135" s="14">
        <v>45699</v>
      </c>
      <c r="B135" s="15" t="str" cm="1">
        <f t="array" aca="1" ref="B135" ca="1">INDEX(Lists!$A$1:$A$6, RANDBETWEEN(1,6))</f>
        <v>Bobcat</v>
      </c>
      <c r="C135" s="15" t="str">
        <f ca="1">_xlfn.XLOOKUP(B135, Lists!$A$1:$A$6, Lists!$B$1:$B$6)</f>
        <v>BC1(10931016)</v>
      </c>
      <c r="D135" s="15" t="str" cm="1">
        <f t="array" aca="1" ref="D135" ca="1">INDEX(Lists!$C$1:$C$3, RANDBETWEEN(1,3))</f>
        <v>Operations</v>
      </c>
      <c r="E135" s="16">
        <f t="shared" ca="1" si="1"/>
        <v>3903</v>
      </c>
      <c r="F135" s="16">
        <f t="shared" ca="1" si="2"/>
        <v>3929</v>
      </c>
      <c r="G135" s="16">
        <f t="shared" ca="1" si="21"/>
        <v>26</v>
      </c>
      <c r="H135" s="16">
        <f t="shared" ca="1" si="4"/>
        <v>3.5</v>
      </c>
      <c r="I135" s="16">
        <f t="shared" ca="1" si="5"/>
        <v>3.7</v>
      </c>
      <c r="J135" s="16">
        <f t="shared" ca="1" si="22"/>
        <v>12.950000000000001</v>
      </c>
      <c r="K135" s="15" t="str" cm="1">
        <f t="array" aca="1" ref="K135" ca="1">INDEX(Lists!$D$1:$D$4, RANDBETWEEN(1,4))</f>
        <v>Maria</v>
      </c>
      <c r="L135" s="16" t="str">
        <f t="shared" si="23"/>
        <v>2025-02</v>
      </c>
      <c r="M135" s="16">
        <f t="shared" si="24"/>
        <v>2025</v>
      </c>
      <c r="N135" s="17">
        <f t="shared" ca="1" si="25"/>
        <v>7.4285714285714288</v>
      </c>
      <c r="O135" s="16" t="str">
        <f t="shared" ca="1" si="31"/>
        <v>Medium</v>
      </c>
    </row>
    <row r="136" spans="1:15">
      <c r="A136" s="14">
        <v>45700</v>
      </c>
      <c r="B136" s="15" t="str" cm="1">
        <f t="array" aca="1" ref="B136" ca="1">INDEX(Lists!$A$1:$A$6, RANDBETWEEN(1,6))</f>
        <v>Forklift</v>
      </c>
      <c r="C136" s="15" t="str">
        <f ca="1">_xlfn.XLOOKUP(B136, Lists!$A$1:$A$6, Lists!$B$1:$B$6)</f>
        <v>F7(217595AH)</v>
      </c>
      <c r="D136" s="15" t="str" cm="1">
        <f t="array" aca="1" ref="D136" ca="1">INDEX(Lists!$C$1:$C$3, RANDBETWEEN(1,3))</f>
        <v>Operations</v>
      </c>
      <c r="E136" s="16">
        <f t="shared" ca="1" si="1"/>
        <v>1075</v>
      </c>
      <c r="F136" s="16">
        <f t="shared" ca="1" si="2"/>
        <v>1100</v>
      </c>
      <c r="G136" s="16">
        <f t="shared" ca="1" si="21"/>
        <v>25</v>
      </c>
      <c r="H136" s="16">
        <f t="shared" ca="1" si="4"/>
        <v>7.5</v>
      </c>
      <c r="I136" s="16">
        <f t="shared" ca="1" si="5"/>
        <v>3.62</v>
      </c>
      <c r="J136" s="16">
        <f t="shared" ca="1" si="22"/>
        <v>27.150000000000002</v>
      </c>
      <c r="K136" s="15" t="str" cm="1">
        <f t="array" aca="1" ref="K136" ca="1">INDEX(Lists!$D$1:$D$4, RANDBETWEEN(1,4))</f>
        <v>Ahmed</v>
      </c>
      <c r="L136" s="16" t="str">
        <f t="shared" si="23"/>
        <v>2025-02</v>
      </c>
      <c r="M136" s="16">
        <f t="shared" si="24"/>
        <v>2025</v>
      </c>
      <c r="N136" s="17">
        <f t="shared" ca="1" si="25"/>
        <v>3.3333333333333335</v>
      </c>
      <c r="O136" s="16" t="str">
        <f t="shared" ca="1" si="31"/>
        <v>Medium</v>
      </c>
    </row>
    <row r="137" spans="1:15">
      <c r="A137" s="14">
        <v>45701</v>
      </c>
      <c r="B137" s="15" t="str" cm="1">
        <f t="array" aca="1" ref="B137" ca="1">INDEX(Lists!$A$1:$A$6, RANDBETWEEN(1,6))</f>
        <v>Mini Excavator</v>
      </c>
      <c r="C137" s="15" t="str">
        <f ca="1">_xlfn.XLOOKUP(B137, Lists!$A$1:$A$6, Lists!$B$1:$B$6)</f>
        <v>ME6(10682709)</v>
      </c>
      <c r="D137" s="15" t="str" cm="1">
        <f t="array" aca="1" ref="D137" ca="1">INDEX(Lists!$C$1:$C$3, RANDBETWEEN(1,3))</f>
        <v>Operations</v>
      </c>
      <c r="E137" s="16">
        <f t="shared" ca="1" si="1"/>
        <v>4863</v>
      </c>
      <c r="F137" s="16">
        <f t="shared" ca="1" si="2"/>
        <v>4924</v>
      </c>
      <c r="G137" s="16">
        <f t="shared" ca="1" si="21"/>
        <v>61</v>
      </c>
      <c r="H137" s="16">
        <f t="shared" ca="1" si="4"/>
        <v>12</v>
      </c>
      <c r="I137" s="16">
        <f t="shared" ca="1" si="5"/>
        <v>3.41</v>
      </c>
      <c r="J137" s="16">
        <f t="shared" ca="1" si="22"/>
        <v>40.92</v>
      </c>
      <c r="K137" s="15" t="str" cm="1">
        <f t="array" aca="1" ref="K137" ca="1">INDEX(Lists!$D$1:$D$4, RANDBETWEEN(1,4))</f>
        <v>Ravi</v>
      </c>
      <c r="L137" s="16" t="str">
        <f t="shared" si="23"/>
        <v>2025-02</v>
      </c>
      <c r="M137" s="16">
        <f t="shared" si="24"/>
        <v>2025</v>
      </c>
      <c r="N137" s="17">
        <f t="shared" ca="1" si="25"/>
        <v>5.083333333333333</v>
      </c>
      <c r="O137" s="16" t="str">
        <f t="shared" ca="1" si="31"/>
        <v>Long</v>
      </c>
    </row>
    <row r="138" spans="1:15">
      <c r="A138" s="14">
        <v>45702</v>
      </c>
      <c r="B138" s="15" t="str" cm="1">
        <f t="array" aca="1" ref="B138" ca="1">INDEX(Lists!$A$1:$A$6, RANDBETWEEN(1,6))</f>
        <v>Bobcat</v>
      </c>
      <c r="C138" s="15" t="str">
        <f ca="1">_xlfn.XLOOKUP(B138, Lists!$A$1:$A$6, Lists!$B$1:$B$6)</f>
        <v>BC1(10931016)</v>
      </c>
      <c r="D138" s="15" t="str" cm="1">
        <f t="array" aca="1" ref="D138" ca="1">INDEX(Lists!$C$1:$C$3, RANDBETWEEN(1,3))</f>
        <v>Maintenance</v>
      </c>
      <c r="E138" s="16">
        <f t="shared" ca="1" si="1"/>
        <v>3266</v>
      </c>
      <c r="F138" s="16">
        <f t="shared" ca="1" si="2"/>
        <v>3284</v>
      </c>
      <c r="G138" s="16">
        <f t="shared" ca="1" si="21"/>
        <v>18</v>
      </c>
      <c r="H138" s="16">
        <f t="shared" ca="1" si="4"/>
        <v>11</v>
      </c>
      <c r="I138" s="16">
        <f t="shared" ca="1" si="5"/>
        <v>3.72</v>
      </c>
      <c r="J138" s="16">
        <f t="shared" ca="1" si="22"/>
        <v>40.92</v>
      </c>
      <c r="K138" s="15" t="str" cm="1">
        <f t="array" aca="1" ref="K138" ca="1">INDEX(Lists!$D$1:$D$4, RANDBETWEEN(1,4))</f>
        <v>Ahmed</v>
      </c>
      <c r="L138" s="16" t="str">
        <f t="shared" si="23"/>
        <v>2025-02</v>
      </c>
      <c r="M138" s="16">
        <f t="shared" si="24"/>
        <v>2025</v>
      </c>
      <c r="N138" s="17">
        <f t="shared" ca="1" si="25"/>
        <v>1.6363636363636365</v>
      </c>
      <c r="O138" s="16" t="str">
        <f t="shared" ca="1" si="31"/>
        <v>Short</v>
      </c>
    </row>
    <row r="139" spans="1:15">
      <c r="A139" s="14">
        <v>45703</v>
      </c>
      <c r="B139" s="15" t="str" cm="1">
        <f t="array" aca="1" ref="B139" ca="1">INDEX(Lists!$A$1:$A$6, RANDBETWEEN(1,6))</f>
        <v>Forklift</v>
      </c>
      <c r="C139" s="15" t="str">
        <f ca="1">_xlfn.XLOOKUP(B139, Lists!$A$1:$A$6, Lists!$B$1:$B$6)</f>
        <v>F7(217595AH)</v>
      </c>
      <c r="D139" s="15" t="str" cm="1">
        <f t="array" aca="1" ref="D139" ca="1">INDEX(Lists!$C$1:$C$3, RANDBETWEEN(1,3))</f>
        <v>Yard</v>
      </c>
      <c r="E139" s="16">
        <f t="shared" ca="1" si="1"/>
        <v>807</v>
      </c>
      <c r="F139" s="16">
        <f t="shared" ca="1" si="2"/>
        <v>862</v>
      </c>
      <c r="G139" s="16">
        <f t="shared" ca="1" si="21"/>
        <v>55</v>
      </c>
      <c r="H139" s="16">
        <f t="shared" ca="1" si="4"/>
        <v>4</v>
      </c>
      <c r="I139" s="16">
        <f t="shared" ca="1" si="5"/>
        <v>3.63</v>
      </c>
      <c r="J139" s="16">
        <f t="shared" ca="1" si="22"/>
        <v>14.52</v>
      </c>
      <c r="K139" s="15" t="str" cm="1">
        <f t="array" aca="1" ref="K139" ca="1">INDEX(Lists!$D$1:$D$4, RANDBETWEEN(1,4))</f>
        <v>Jose</v>
      </c>
      <c r="L139" s="16" t="str">
        <f t="shared" si="23"/>
        <v>2025-02</v>
      </c>
      <c r="M139" s="16">
        <f t="shared" si="24"/>
        <v>2025</v>
      </c>
      <c r="N139" s="17">
        <f t="shared" ca="1" si="25"/>
        <v>13.75</v>
      </c>
      <c r="O139" s="16" t="str">
        <f t="shared" ca="1" si="31"/>
        <v>Long</v>
      </c>
    </row>
    <row r="140" spans="1:15">
      <c r="A140" s="14">
        <v>45704</v>
      </c>
      <c r="B140" s="15" t="str" cm="1">
        <f t="array" aca="1" ref="B140" ca="1">INDEX(Lists!$A$1:$A$6, RANDBETWEEN(1,6))</f>
        <v>Welding Machine</v>
      </c>
      <c r="C140" s="15" t="str">
        <f ca="1">_xlfn.XLOOKUP(B140, Lists!$A$1:$A$6, Lists!$B$1:$B$6)</f>
        <v>WM12(WD5-000729)</v>
      </c>
      <c r="D140" s="15" t="str" cm="1">
        <f t="array" aca="1" ref="D140" ca="1">INDEX(Lists!$C$1:$C$3, RANDBETWEEN(1,3))</f>
        <v>Maintenance</v>
      </c>
      <c r="E140" s="16">
        <f t="shared" ca="1" si="1"/>
        <v>1887</v>
      </c>
      <c r="F140" s="16">
        <f t="shared" ca="1" si="2"/>
        <v>1958</v>
      </c>
      <c r="G140" s="16">
        <f t="shared" ca="1" si="21"/>
        <v>71</v>
      </c>
      <c r="H140" s="16">
        <f t="shared" ca="1" si="4"/>
        <v>11.5</v>
      </c>
      <c r="I140" s="16">
        <f t="shared" ca="1" si="5"/>
        <v>3.36</v>
      </c>
      <c r="J140" s="16">
        <f t="shared" ca="1" si="22"/>
        <v>38.64</v>
      </c>
      <c r="K140" s="15" t="str" cm="1">
        <f t="array" aca="1" ref="K140" ca="1">INDEX(Lists!$D$1:$D$4, RANDBETWEEN(1,4))</f>
        <v>Maria</v>
      </c>
      <c r="L140" s="16" t="str">
        <f t="shared" si="23"/>
        <v>2025-02</v>
      </c>
      <c r="M140" s="16">
        <f t="shared" si="24"/>
        <v>2025</v>
      </c>
      <c r="N140" s="17">
        <f t="shared" ca="1" si="25"/>
        <v>6.1739130434782608</v>
      </c>
      <c r="O140" s="16" t="str">
        <f t="shared" ca="1" si="31"/>
        <v>Long</v>
      </c>
    </row>
    <row r="141" spans="1:15">
      <c r="A141" s="14">
        <v>45705</v>
      </c>
      <c r="B141" s="15" t="str" cm="1">
        <f t="array" aca="1" ref="B141" ca="1">INDEX(Lists!$A$1:$A$6, RANDBETWEEN(1,6))</f>
        <v>Welding Machine</v>
      </c>
      <c r="C141" s="15" t="str">
        <f ca="1">_xlfn.XLOOKUP(B141, Lists!$A$1:$A$6, Lists!$B$1:$B$6)</f>
        <v>WM12(WD5-000729)</v>
      </c>
      <c r="D141" s="15" t="str" cm="1">
        <f t="array" aca="1" ref="D141" ca="1">INDEX(Lists!$C$1:$C$3, RANDBETWEEN(1,3))</f>
        <v>Operations</v>
      </c>
      <c r="E141" s="16">
        <f t="shared" ca="1" si="1"/>
        <v>923</v>
      </c>
      <c r="F141" s="16">
        <f t="shared" ca="1" si="2"/>
        <v>982</v>
      </c>
      <c r="G141" s="16">
        <f t="shared" ca="1" si="21"/>
        <v>59</v>
      </c>
      <c r="H141" s="16">
        <f t="shared" ca="1" si="4"/>
        <v>7</v>
      </c>
      <c r="I141" s="16">
        <f t="shared" ca="1" si="5"/>
        <v>3.6</v>
      </c>
      <c r="J141" s="16">
        <f t="shared" ca="1" si="22"/>
        <v>25.2</v>
      </c>
      <c r="K141" s="15" t="str" cm="1">
        <f t="array" aca="1" ref="K141" ca="1">INDEX(Lists!$D$1:$D$4, RANDBETWEEN(1,4))</f>
        <v>Maria</v>
      </c>
      <c r="L141" s="16" t="str">
        <f t="shared" si="23"/>
        <v>2025-02</v>
      </c>
      <c r="M141" s="16">
        <f t="shared" si="24"/>
        <v>2025</v>
      </c>
      <c r="N141" s="17">
        <f t="shared" ca="1" si="25"/>
        <v>8.4285714285714288</v>
      </c>
      <c r="O141" s="16" t="str">
        <f t="shared" ca="1" si="31"/>
        <v>Long</v>
      </c>
    </row>
    <row r="142" spans="1:15">
      <c r="A142" s="14">
        <v>45706</v>
      </c>
      <c r="B142" s="15" t="str" cm="1">
        <f t="array" aca="1" ref="B142" ca="1">INDEX(Lists!$A$1:$A$6, RANDBETWEEN(1,6))</f>
        <v>Welding Machine</v>
      </c>
      <c r="C142" s="15" t="str">
        <f ca="1">_xlfn.XLOOKUP(B142, Lists!$A$1:$A$6, Lists!$B$1:$B$6)</f>
        <v>WM12(WD5-000729)</v>
      </c>
      <c r="D142" s="15" t="str" cm="1">
        <f t="array" aca="1" ref="D142" ca="1">INDEX(Lists!$C$1:$C$3, RANDBETWEEN(1,3))</f>
        <v>Maintenance</v>
      </c>
      <c r="E142" s="16">
        <f t="shared" ca="1" si="1"/>
        <v>1679</v>
      </c>
      <c r="F142" s="16">
        <f t="shared" ca="1" si="2"/>
        <v>1726</v>
      </c>
      <c r="G142" s="16">
        <f t="shared" ca="1" si="21"/>
        <v>47</v>
      </c>
      <c r="H142" s="16">
        <f t="shared" ca="1" si="4"/>
        <v>8</v>
      </c>
      <c r="I142" s="16">
        <f t="shared" ca="1" si="5"/>
        <v>3.37</v>
      </c>
      <c r="J142" s="16">
        <f t="shared" ca="1" si="22"/>
        <v>26.96</v>
      </c>
      <c r="K142" s="15" t="str" cm="1">
        <f t="array" aca="1" ref="K142" ca="1">INDEX(Lists!$D$1:$D$4, RANDBETWEEN(1,4))</f>
        <v>Jose</v>
      </c>
      <c r="L142" s="16" t="str">
        <f t="shared" si="23"/>
        <v>2025-02</v>
      </c>
      <c r="M142" s="16">
        <f t="shared" si="24"/>
        <v>2025</v>
      </c>
      <c r="N142" s="17">
        <f t="shared" ca="1" si="25"/>
        <v>5.875</v>
      </c>
      <c r="O142" s="16" t="str">
        <f t="shared" ca="1" si="31"/>
        <v>Medium</v>
      </c>
    </row>
    <row r="143" spans="1:15">
      <c r="A143" s="14">
        <v>45707</v>
      </c>
      <c r="B143" s="15" t="str" cm="1">
        <f t="array" aca="1" ref="B143" ca="1">INDEX(Lists!$A$1:$A$6, RANDBETWEEN(1,6))</f>
        <v>Welding Machine</v>
      </c>
      <c r="C143" s="15" t="str">
        <f ca="1">_xlfn.XLOOKUP(B143, Lists!$A$1:$A$6, Lists!$B$1:$B$6)</f>
        <v>WM12(WD5-000729)</v>
      </c>
      <c r="D143" s="15" t="str" cm="1">
        <f t="array" aca="1" ref="D143" ca="1">INDEX(Lists!$C$1:$C$3, RANDBETWEEN(1,3))</f>
        <v>Maintenance</v>
      </c>
      <c r="E143" s="16">
        <f t="shared" ca="1" si="1"/>
        <v>4666</v>
      </c>
      <c r="F143" s="16">
        <f t="shared" ca="1" si="2"/>
        <v>4735</v>
      </c>
      <c r="G143" s="16">
        <f t="shared" ca="1" si="21"/>
        <v>69</v>
      </c>
      <c r="H143" s="16">
        <f t="shared" ca="1" si="4"/>
        <v>9.5</v>
      </c>
      <c r="I143" s="16">
        <f t="shared" ca="1" si="5"/>
        <v>3.33</v>
      </c>
      <c r="J143" s="16">
        <f t="shared" ca="1" si="22"/>
        <v>31.635000000000002</v>
      </c>
      <c r="K143" s="15" t="str" cm="1">
        <f t="array" aca="1" ref="K143" ca="1">INDEX(Lists!$D$1:$D$4, RANDBETWEEN(1,4))</f>
        <v>Ahmed</v>
      </c>
      <c r="L143" s="16" t="str">
        <f t="shared" si="23"/>
        <v>2025-02</v>
      </c>
      <c r="M143" s="16">
        <f t="shared" si="24"/>
        <v>2025</v>
      </c>
      <c r="N143" s="17">
        <f t="shared" ca="1" si="25"/>
        <v>7.2631578947368425</v>
      </c>
      <c r="O143" s="16" t="str">
        <f t="shared" ca="1" si="31"/>
        <v>Long</v>
      </c>
    </row>
    <row r="144" spans="1:15">
      <c r="A144" s="14">
        <v>45708</v>
      </c>
      <c r="B144" s="15" t="str" cm="1">
        <f t="array" aca="1" ref="B144" ca="1">INDEX(Lists!$A$1:$A$6, RANDBETWEEN(1,6))</f>
        <v>Forklift</v>
      </c>
      <c r="C144" s="15" t="str">
        <f ca="1">_xlfn.XLOOKUP(B144, Lists!$A$1:$A$6, Lists!$B$1:$B$6)</f>
        <v>F7(217595AH)</v>
      </c>
      <c r="D144" s="15" t="str" cm="1">
        <f t="array" aca="1" ref="D144" ca="1">INDEX(Lists!$C$1:$C$3, RANDBETWEEN(1,3))</f>
        <v>Operations</v>
      </c>
      <c r="E144" s="16">
        <f t="shared" ca="1" si="1"/>
        <v>721</v>
      </c>
      <c r="F144" s="16">
        <f t="shared" ca="1" si="2"/>
        <v>793</v>
      </c>
      <c r="G144" s="16">
        <f t="shared" ca="1" si="21"/>
        <v>72</v>
      </c>
      <c r="H144" s="16">
        <f t="shared" ca="1" si="4"/>
        <v>2.5</v>
      </c>
      <c r="I144" s="16">
        <f t="shared" ca="1" si="5"/>
        <v>3.31</v>
      </c>
      <c r="J144" s="16">
        <f t="shared" ca="1" si="22"/>
        <v>8.2750000000000004</v>
      </c>
      <c r="K144" s="15" t="str" cm="1">
        <f t="array" aca="1" ref="K144" ca="1">INDEX(Lists!$D$1:$D$4, RANDBETWEEN(1,4))</f>
        <v>Ravi</v>
      </c>
      <c r="L144" s="16" t="str">
        <f t="shared" si="23"/>
        <v>2025-02</v>
      </c>
      <c r="M144" s="16">
        <f t="shared" si="24"/>
        <v>2025</v>
      </c>
      <c r="N144" s="17">
        <f t="shared" ca="1" si="25"/>
        <v>28.8</v>
      </c>
      <c r="O144" s="16" t="str">
        <f t="shared" ca="1" si="31"/>
        <v>Long</v>
      </c>
    </row>
    <row r="145" spans="1:15">
      <c r="A145" s="14">
        <v>45709</v>
      </c>
      <c r="B145" s="15" t="str" cm="1">
        <f t="array" aca="1" ref="B145" ca="1">INDEX(Lists!$A$1:$A$6, RANDBETWEEN(1,6))</f>
        <v>Welding Machine</v>
      </c>
      <c r="C145" s="15" t="str">
        <f ca="1">_xlfn.XLOOKUP(B145, Lists!$A$1:$A$6, Lists!$B$1:$B$6)</f>
        <v>WM12(WD5-000729)</v>
      </c>
      <c r="D145" s="15" t="str" cm="1">
        <f t="array" aca="1" ref="D145" ca="1">INDEX(Lists!$C$1:$C$3, RANDBETWEEN(1,3))</f>
        <v>Maintenance</v>
      </c>
      <c r="E145" s="16">
        <f t="shared" ca="1" si="1"/>
        <v>1956</v>
      </c>
      <c r="F145" s="16">
        <f t="shared" ca="1" si="2"/>
        <v>1979</v>
      </c>
      <c r="G145" s="16">
        <f t="shared" ca="1" si="21"/>
        <v>23</v>
      </c>
      <c r="H145" s="16">
        <f t="shared" ca="1" si="4"/>
        <v>7.5</v>
      </c>
      <c r="I145" s="16">
        <f t="shared" ca="1" si="5"/>
        <v>3.52</v>
      </c>
      <c r="J145" s="16">
        <f t="shared" ca="1" si="22"/>
        <v>26.4</v>
      </c>
      <c r="K145" s="15" t="str" cm="1">
        <f t="array" aca="1" ref="K145" ca="1">INDEX(Lists!$D$1:$D$4, RANDBETWEEN(1,4))</f>
        <v>Maria</v>
      </c>
      <c r="L145" s="16" t="str">
        <f t="shared" si="23"/>
        <v>2025-02</v>
      </c>
      <c r="M145" s="16">
        <f t="shared" si="24"/>
        <v>2025</v>
      </c>
      <c r="N145" s="17">
        <f t="shared" ca="1" si="25"/>
        <v>3.0666666666666669</v>
      </c>
      <c r="O145" s="16" t="str">
        <f t="shared" ca="1" si="31"/>
        <v>Medium</v>
      </c>
    </row>
    <row r="146" spans="1:15">
      <c r="A146" s="14">
        <v>45710</v>
      </c>
      <c r="B146" s="15" t="str" cm="1">
        <f t="array" aca="1" ref="B146" ca="1">INDEX(Lists!$A$1:$A$6, RANDBETWEEN(1,6))</f>
        <v>Boom Lift</v>
      </c>
      <c r="C146" s="15" t="str">
        <f ca="1">_xlfn.XLOOKUP(B146, Lists!$A$1:$A$6, Lists!$B$1:$B$6)</f>
        <v>BL8(1047802)</v>
      </c>
      <c r="D146" s="15" t="str" cm="1">
        <f t="array" aca="1" ref="D146" ca="1">INDEX(Lists!$C$1:$C$3, RANDBETWEEN(1,3))</f>
        <v>Maintenance</v>
      </c>
      <c r="E146" s="16">
        <f t="shared" ca="1" si="1"/>
        <v>1807</v>
      </c>
      <c r="F146" s="16">
        <f t="shared" ca="1" si="2"/>
        <v>1884</v>
      </c>
      <c r="G146" s="16">
        <f t="shared" ca="1" si="21"/>
        <v>77</v>
      </c>
      <c r="H146" s="16">
        <f t="shared" ca="1" si="4"/>
        <v>10</v>
      </c>
      <c r="I146" s="16">
        <f t="shared" ca="1" si="5"/>
        <v>3.54</v>
      </c>
      <c r="J146" s="16">
        <f t="shared" ca="1" si="22"/>
        <v>35.4</v>
      </c>
      <c r="K146" s="15" t="str" cm="1">
        <f t="array" aca="1" ref="K146" ca="1">INDEX(Lists!$D$1:$D$4, RANDBETWEEN(1,4))</f>
        <v>Jose</v>
      </c>
      <c r="L146" s="16" t="str">
        <f t="shared" si="23"/>
        <v>2025-02</v>
      </c>
      <c r="M146" s="16">
        <f t="shared" si="24"/>
        <v>2025</v>
      </c>
      <c r="N146" s="17">
        <f t="shared" ca="1" si="25"/>
        <v>7.7</v>
      </c>
      <c r="O146" s="16" t="str">
        <f t="shared" ca="1" si="31"/>
        <v>Long</v>
      </c>
    </row>
    <row r="147" spans="1:15">
      <c r="A147" s="14">
        <v>45711</v>
      </c>
      <c r="B147" s="15" t="str" cm="1">
        <f t="array" aca="1" ref="B147" ca="1">INDEX(Lists!$A$1:$A$6, RANDBETWEEN(1,6))</f>
        <v>Boom Lift</v>
      </c>
      <c r="C147" s="15" t="str">
        <f ca="1">_xlfn.XLOOKUP(B147, Lists!$A$1:$A$6, Lists!$B$1:$B$6)</f>
        <v>BL8(1047802)</v>
      </c>
      <c r="D147" s="15" t="str" cm="1">
        <f t="array" aca="1" ref="D147" ca="1">INDEX(Lists!$C$1:$C$3, RANDBETWEEN(1,3))</f>
        <v>Operations</v>
      </c>
      <c r="E147" s="16">
        <f t="shared" ca="1" si="1"/>
        <v>4044</v>
      </c>
      <c r="F147" s="16">
        <f t="shared" ca="1" si="2"/>
        <v>4052</v>
      </c>
      <c r="G147" s="16">
        <f t="shared" ca="1" si="21"/>
        <v>8</v>
      </c>
      <c r="H147" s="16">
        <f t="shared" ca="1" si="4"/>
        <v>3</v>
      </c>
      <c r="I147" s="16">
        <f t="shared" ca="1" si="5"/>
        <v>3.57</v>
      </c>
      <c r="J147" s="16">
        <f t="shared" ca="1" si="22"/>
        <v>10.709999999999999</v>
      </c>
      <c r="K147" s="15" t="str" cm="1">
        <f t="array" aca="1" ref="K147" ca="1">INDEX(Lists!$D$1:$D$4, RANDBETWEEN(1,4))</f>
        <v>Ravi</v>
      </c>
      <c r="L147" s="16" t="str">
        <f t="shared" si="23"/>
        <v>2025-02</v>
      </c>
      <c r="M147" s="16">
        <f t="shared" si="24"/>
        <v>2025</v>
      </c>
      <c r="N147" s="17">
        <f t="shared" ca="1" si="25"/>
        <v>2.6666666666666665</v>
      </c>
      <c r="O147" s="16" t="str">
        <f t="shared" ca="1" si="31"/>
        <v>Short</v>
      </c>
    </row>
    <row r="148" spans="1:15">
      <c r="A148" s="14">
        <v>45712</v>
      </c>
      <c r="B148" s="15" t="str" cm="1">
        <f t="array" aca="1" ref="B148" ca="1">INDEX(Lists!$A$1:$A$6, RANDBETWEEN(1,6))</f>
        <v>Front End Loader</v>
      </c>
      <c r="C148" s="15" t="str">
        <f ca="1">_xlfn.XLOOKUP(B148, Lists!$A$1:$A$6, Lists!$B$1:$B$6)</f>
        <v>FE1(10930360)</v>
      </c>
      <c r="D148" s="15" t="str" cm="1">
        <f t="array" aca="1" ref="D148" ca="1">INDEX(Lists!$C$1:$C$3, RANDBETWEEN(1,3))</f>
        <v>Yard</v>
      </c>
      <c r="E148" s="16">
        <f t="shared" ca="1" si="1"/>
        <v>774</v>
      </c>
      <c r="F148" s="16">
        <f t="shared" ca="1" si="2"/>
        <v>853</v>
      </c>
      <c r="G148" s="16">
        <f t="shared" ca="1" si="21"/>
        <v>79</v>
      </c>
      <c r="H148" s="16">
        <f t="shared" ca="1" si="4"/>
        <v>8</v>
      </c>
      <c r="I148" s="16">
        <f t="shared" ca="1" si="5"/>
        <v>3.59</v>
      </c>
      <c r="J148" s="16">
        <f t="shared" ca="1" si="22"/>
        <v>28.72</v>
      </c>
      <c r="K148" s="15" t="str" cm="1">
        <f t="array" aca="1" ref="K148" ca="1">INDEX(Lists!$D$1:$D$4, RANDBETWEEN(1,4))</f>
        <v>Jose</v>
      </c>
      <c r="L148" s="16" t="str">
        <f t="shared" si="23"/>
        <v>2025-02</v>
      </c>
      <c r="M148" s="16">
        <f t="shared" si="24"/>
        <v>2025</v>
      </c>
      <c r="N148" s="17">
        <f t="shared" ca="1" si="25"/>
        <v>9.875</v>
      </c>
      <c r="O148" s="16" t="str">
        <f t="shared" ca="1" si="31"/>
        <v>Long</v>
      </c>
    </row>
    <row r="149" spans="1:15">
      <c r="A149" s="14">
        <v>45713</v>
      </c>
      <c r="B149" s="15" t="str" cm="1">
        <f t="array" aca="1" ref="B149" ca="1">INDEX(Lists!$A$1:$A$6, RANDBETWEEN(1,6))</f>
        <v>Boom Lift</v>
      </c>
      <c r="C149" s="15" t="str">
        <f ca="1">_xlfn.XLOOKUP(B149, Lists!$A$1:$A$6, Lists!$B$1:$B$6)</f>
        <v>BL8(1047802)</v>
      </c>
      <c r="D149" s="15" t="str" cm="1">
        <f t="array" aca="1" ref="D149" ca="1">INDEX(Lists!$C$1:$C$3, RANDBETWEEN(1,3))</f>
        <v>Operations</v>
      </c>
      <c r="E149" s="16">
        <f t="shared" ca="1" si="1"/>
        <v>1542</v>
      </c>
      <c r="F149" s="16">
        <f t="shared" ca="1" si="2"/>
        <v>1559</v>
      </c>
      <c r="G149" s="16">
        <f t="shared" ca="1" si="21"/>
        <v>17</v>
      </c>
      <c r="H149" s="16">
        <f t="shared" ca="1" si="4"/>
        <v>4.5</v>
      </c>
      <c r="I149" s="16">
        <f t="shared" ca="1" si="5"/>
        <v>3.72</v>
      </c>
      <c r="J149" s="16">
        <f t="shared" ca="1" si="22"/>
        <v>16.740000000000002</v>
      </c>
      <c r="K149" s="15" t="str" cm="1">
        <f t="array" aca="1" ref="K149" ca="1">INDEX(Lists!$D$1:$D$4, RANDBETWEEN(1,4))</f>
        <v>Jose</v>
      </c>
      <c r="L149" s="16" t="str">
        <f t="shared" si="23"/>
        <v>2025-02</v>
      </c>
      <c r="M149" s="16">
        <f t="shared" si="24"/>
        <v>2025</v>
      </c>
      <c r="N149" s="17">
        <f t="shared" ca="1" si="25"/>
        <v>3.7777777777777777</v>
      </c>
      <c r="O149" s="16" t="str">
        <f t="shared" ca="1" si="31"/>
        <v>Short</v>
      </c>
    </row>
    <row r="150" spans="1:15">
      <c r="A150" s="14">
        <v>45714</v>
      </c>
      <c r="B150" s="15" t="str" cm="1">
        <f t="array" aca="1" ref="B150" ca="1">INDEX(Lists!$A$1:$A$6, RANDBETWEEN(1,6))</f>
        <v>Mini Excavator</v>
      </c>
      <c r="C150" s="15" t="str">
        <f ca="1">_xlfn.XLOOKUP(B150, Lists!$A$1:$A$6, Lists!$B$1:$B$6)</f>
        <v>ME6(10682709)</v>
      </c>
      <c r="D150" s="15" t="str" cm="1">
        <f t="array" aca="1" ref="D150" ca="1">INDEX(Lists!$C$1:$C$3, RANDBETWEEN(1,3))</f>
        <v>Maintenance</v>
      </c>
      <c r="E150" s="16">
        <f t="shared" ca="1" si="1"/>
        <v>2529</v>
      </c>
      <c r="F150" s="16">
        <f t="shared" ca="1" si="2"/>
        <v>2581</v>
      </c>
      <c r="G150" s="16">
        <f t="shared" ca="1" si="21"/>
        <v>52</v>
      </c>
      <c r="H150" s="16">
        <f t="shared" ca="1" si="4"/>
        <v>3.5</v>
      </c>
      <c r="I150" s="16">
        <f t="shared" ca="1" si="5"/>
        <v>3.47</v>
      </c>
      <c r="J150" s="16">
        <f t="shared" ca="1" si="22"/>
        <v>12.145000000000001</v>
      </c>
      <c r="K150" s="15" t="str" cm="1">
        <f t="array" aca="1" ref="K150" ca="1">INDEX(Lists!$D$1:$D$4, RANDBETWEEN(1,4))</f>
        <v>Jose</v>
      </c>
      <c r="L150" s="16" t="str">
        <f t="shared" si="23"/>
        <v>2025-02</v>
      </c>
      <c r="M150" s="16">
        <f t="shared" si="24"/>
        <v>2025</v>
      </c>
      <c r="N150" s="17">
        <f t="shared" ca="1" si="25"/>
        <v>14.857142857142858</v>
      </c>
      <c r="O150" s="16" t="str">
        <f t="shared" ca="1" si="31"/>
        <v>Long</v>
      </c>
    </row>
    <row r="151" spans="1:15">
      <c r="A151" s="14">
        <v>45715</v>
      </c>
      <c r="B151" s="15" t="str" cm="1">
        <f t="array" aca="1" ref="B151" ca="1">INDEX(Lists!$A$1:$A$6, RANDBETWEEN(1,6))</f>
        <v>Mini Excavator</v>
      </c>
      <c r="C151" s="15" t="str">
        <f ca="1">_xlfn.XLOOKUP(B151, Lists!$A$1:$A$6, Lists!$B$1:$B$6)</f>
        <v>ME6(10682709)</v>
      </c>
      <c r="D151" s="15" t="str" cm="1">
        <f t="array" aca="1" ref="D151" ca="1">INDEX(Lists!$C$1:$C$3, RANDBETWEEN(1,3))</f>
        <v>Yard</v>
      </c>
      <c r="E151" s="16">
        <f t="shared" ca="1" si="1"/>
        <v>2164</v>
      </c>
      <c r="F151" s="16">
        <f t="shared" ca="1" si="2"/>
        <v>2232</v>
      </c>
      <c r="G151" s="16">
        <f t="shared" ca="1" si="21"/>
        <v>68</v>
      </c>
      <c r="H151" s="16">
        <f t="shared" ca="1" si="4"/>
        <v>7</v>
      </c>
      <c r="I151" s="16">
        <f t="shared" ca="1" si="5"/>
        <v>3.21</v>
      </c>
      <c r="J151" s="16">
        <f t="shared" ca="1" si="22"/>
        <v>22.47</v>
      </c>
      <c r="K151" s="15" t="str" cm="1">
        <f t="array" aca="1" ref="K151" ca="1">INDEX(Lists!$D$1:$D$4, RANDBETWEEN(1,4))</f>
        <v>Maria</v>
      </c>
      <c r="L151" s="16" t="str">
        <f t="shared" si="23"/>
        <v>2025-02</v>
      </c>
      <c r="M151" s="16">
        <f t="shared" si="24"/>
        <v>2025</v>
      </c>
      <c r="N151" s="17">
        <f t="shared" ca="1" si="25"/>
        <v>9.7142857142857135</v>
      </c>
      <c r="O151" s="16" t="str">
        <f t="shared" ca="1" si="31"/>
        <v>Long</v>
      </c>
    </row>
    <row r="152" spans="1:15">
      <c r="A152" s="14">
        <v>45716</v>
      </c>
      <c r="B152" s="15" t="str" cm="1">
        <f t="array" aca="1" ref="B152" ca="1">INDEX(Lists!$A$1:$A$6, RANDBETWEEN(1,6))</f>
        <v>Mini Excavator</v>
      </c>
      <c r="C152" s="15" t="str">
        <f ca="1">_xlfn.XLOOKUP(B152, Lists!$A$1:$A$6, Lists!$B$1:$B$6)</f>
        <v>ME6(10682709)</v>
      </c>
      <c r="D152" s="15" t="str" cm="1">
        <f t="array" aca="1" ref="D152" ca="1">INDEX(Lists!$C$1:$C$3, RANDBETWEEN(1,3))</f>
        <v>Maintenance</v>
      </c>
      <c r="E152" s="16">
        <f t="shared" ca="1" si="1"/>
        <v>3094</v>
      </c>
      <c r="F152" s="16">
        <f t="shared" ca="1" si="2"/>
        <v>3158</v>
      </c>
      <c r="G152" s="16">
        <f t="shared" ca="1" si="21"/>
        <v>64</v>
      </c>
      <c r="H152" s="16">
        <f t="shared" ca="1" si="4"/>
        <v>12.5</v>
      </c>
      <c r="I152" s="16">
        <f t="shared" ca="1" si="5"/>
        <v>3.79</v>
      </c>
      <c r="J152" s="16">
        <f t="shared" ca="1" si="22"/>
        <v>47.375</v>
      </c>
      <c r="K152" s="15" t="str" cm="1">
        <f t="array" aca="1" ref="K152" ca="1">INDEX(Lists!$D$1:$D$4, RANDBETWEEN(1,4))</f>
        <v>Ravi</v>
      </c>
      <c r="L152" s="16" t="str">
        <f t="shared" si="23"/>
        <v>2025-02</v>
      </c>
      <c r="M152" s="16">
        <f t="shared" si="24"/>
        <v>2025</v>
      </c>
      <c r="N152" s="17">
        <f t="shared" ca="1" si="25"/>
        <v>5.12</v>
      </c>
      <c r="O152" s="16" t="str">
        <f t="shared" ca="1" si="31"/>
        <v>Long</v>
      </c>
    </row>
    <row r="153" spans="1:15">
      <c r="A153" s="14">
        <v>45717</v>
      </c>
      <c r="B153" s="15" t="str" cm="1">
        <f t="array" aca="1" ref="B153" ca="1">INDEX(Lists!$A$1:$A$6, RANDBETWEEN(1,6))</f>
        <v>Mini Excavator</v>
      </c>
      <c r="C153" s="15" t="str">
        <f ca="1">_xlfn.XLOOKUP(B153, Lists!$A$1:$A$6, Lists!$B$1:$B$6)</f>
        <v>ME6(10682709)</v>
      </c>
      <c r="D153" s="15" t="str" cm="1">
        <f t="array" aca="1" ref="D153" ca="1">INDEX(Lists!$C$1:$C$3, RANDBETWEEN(1,3))</f>
        <v>Yard</v>
      </c>
      <c r="E153" s="16">
        <f t="shared" ca="1" si="1"/>
        <v>2181</v>
      </c>
      <c r="F153" s="16">
        <f t="shared" ca="1" si="2"/>
        <v>2210</v>
      </c>
      <c r="G153" s="16">
        <f t="shared" ca="1" si="21"/>
        <v>29</v>
      </c>
      <c r="H153" s="16">
        <f t="shared" ca="1" si="4"/>
        <v>9</v>
      </c>
      <c r="I153" s="16">
        <f t="shared" ca="1" si="5"/>
        <v>3.66</v>
      </c>
      <c r="J153" s="16">
        <f t="shared" ca="1" si="22"/>
        <v>32.94</v>
      </c>
      <c r="K153" s="15" t="str" cm="1">
        <f t="array" aca="1" ref="K153" ca="1">INDEX(Lists!$D$1:$D$4, RANDBETWEEN(1,4))</f>
        <v>Ahmed</v>
      </c>
      <c r="L153" s="16" t="str">
        <f t="shared" si="23"/>
        <v>2025-03</v>
      </c>
      <c r="M153" s="16">
        <f t="shared" si="24"/>
        <v>2025</v>
      </c>
      <c r="N153" s="17">
        <f t="shared" ca="1" si="25"/>
        <v>3.2222222222222223</v>
      </c>
      <c r="O153" s="16" t="str">
        <f t="shared" ca="1" si="31"/>
        <v>Medium</v>
      </c>
    </row>
    <row r="154" spans="1:15">
      <c r="A154" s="14">
        <v>45718</v>
      </c>
      <c r="B154" s="15" t="str" cm="1">
        <f t="array" aca="1" ref="B154" ca="1">INDEX(Lists!$A$1:$A$6, RANDBETWEEN(1,6))</f>
        <v>Boom Lift</v>
      </c>
      <c r="C154" s="15" t="str">
        <f ca="1">_xlfn.XLOOKUP(B154, Lists!$A$1:$A$6, Lists!$B$1:$B$6)</f>
        <v>BL8(1047802)</v>
      </c>
      <c r="D154" s="15" t="str" cm="1">
        <f t="array" aca="1" ref="D154" ca="1">INDEX(Lists!$C$1:$C$3, RANDBETWEEN(1,3))</f>
        <v>Maintenance</v>
      </c>
      <c r="E154" s="16">
        <f t="shared" ca="1" si="1"/>
        <v>2485</v>
      </c>
      <c r="F154" s="16">
        <f t="shared" ca="1" si="2"/>
        <v>2549</v>
      </c>
      <c r="G154" s="16">
        <f t="shared" ca="1" si="21"/>
        <v>64</v>
      </c>
      <c r="H154" s="16">
        <f t="shared" ca="1" si="4"/>
        <v>5</v>
      </c>
      <c r="I154" s="16">
        <f t="shared" ca="1" si="5"/>
        <v>3.42</v>
      </c>
      <c r="J154" s="16">
        <f t="shared" ca="1" si="22"/>
        <v>17.100000000000001</v>
      </c>
      <c r="K154" s="15" t="str" cm="1">
        <f t="array" aca="1" ref="K154" ca="1">INDEX(Lists!$D$1:$D$4, RANDBETWEEN(1,4))</f>
        <v>Jose</v>
      </c>
      <c r="L154" s="16" t="str">
        <f t="shared" si="23"/>
        <v>2025-03</v>
      </c>
      <c r="M154" s="16">
        <f t="shared" si="24"/>
        <v>2025</v>
      </c>
      <c r="N154" s="17">
        <f t="shared" ca="1" si="25"/>
        <v>12.8</v>
      </c>
      <c r="O154" s="16" t="str">
        <f t="shared" ca="1" si="31"/>
        <v>Long</v>
      </c>
    </row>
    <row r="155" spans="1:15">
      <c r="A155" s="14">
        <v>45719</v>
      </c>
      <c r="B155" s="15" t="str" cm="1">
        <f t="array" aca="1" ref="B155" ca="1">INDEX(Lists!$A$1:$A$6, RANDBETWEEN(1,6))</f>
        <v>Front End Loader</v>
      </c>
      <c r="C155" s="15" t="str">
        <f ca="1">_xlfn.XLOOKUP(B155, Lists!$A$1:$A$6, Lists!$B$1:$B$6)</f>
        <v>FE1(10930360)</v>
      </c>
      <c r="D155" s="15" t="str" cm="1">
        <f t="array" aca="1" ref="D155" ca="1">INDEX(Lists!$C$1:$C$3, RANDBETWEEN(1,3))</f>
        <v>Operations</v>
      </c>
      <c r="E155" s="16">
        <f t="shared" ca="1" si="1"/>
        <v>2312</v>
      </c>
      <c r="F155" s="16">
        <f t="shared" ca="1" si="2"/>
        <v>2356</v>
      </c>
      <c r="G155" s="16">
        <f t="shared" ca="1" si="21"/>
        <v>44</v>
      </c>
      <c r="H155" s="16">
        <f t="shared" ca="1" si="4"/>
        <v>5</v>
      </c>
      <c r="I155" s="16">
        <f t="shared" ca="1" si="5"/>
        <v>3.4</v>
      </c>
      <c r="J155" s="16">
        <f t="shared" ca="1" si="22"/>
        <v>17</v>
      </c>
      <c r="K155" s="15" t="str" cm="1">
        <f t="array" aca="1" ref="K155" ca="1">INDEX(Lists!$D$1:$D$4, RANDBETWEEN(1,4))</f>
        <v>Ravi</v>
      </c>
      <c r="L155" s="16" t="str">
        <f t="shared" si="23"/>
        <v>2025-03</v>
      </c>
      <c r="M155" s="16">
        <f t="shared" si="24"/>
        <v>2025</v>
      </c>
      <c r="N155" s="17">
        <f t="shared" ca="1" si="25"/>
        <v>8.8000000000000007</v>
      </c>
      <c r="O155" s="16" t="str">
        <f t="shared" ca="1" si="31"/>
        <v>Medium</v>
      </c>
    </row>
    <row r="156" spans="1:15">
      <c r="A156" s="14">
        <v>45720</v>
      </c>
      <c r="B156" s="15" t="str" cm="1">
        <f t="array" aca="1" ref="B156" ca="1">INDEX(Lists!$A$1:$A$6, RANDBETWEEN(1,6))</f>
        <v>Boom Lift</v>
      </c>
      <c r="C156" s="15" t="str">
        <f ca="1">_xlfn.XLOOKUP(B156, Lists!$A$1:$A$6, Lists!$B$1:$B$6)</f>
        <v>BL8(1047802)</v>
      </c>
      <c r="D156" s="15" t="str" cm="1">
        <f t="array" aca="1" ref="D156" ca="1">INDEX(Lists!$C$1:$C$3, RANDBETWEEN(1,3))</f>
        <v>Operations</v>
      </c>
      <c r="E156" s="16">
        <f t="shared" ca="1" si="1"/>
        <v>781</v>
      </c>
      <c r="F156" s="16">
        <f t="shared" ca="1" si="2"/>
        <v>825</v>
      </c>
      <c r="G156" s="16">
        <f t="shared" ca="1" si="21"/>
        <v>44</v>
      </c>
      <c r="H156" s="16">
        <f t="shared" ca="1" si="4"/>
        <v>11</v>
      </c>
      <c r="I156" s="16">
        <f t="shared" ca="1" si="5"/>
        <v>3.66</v>
      </c>
      <c r="J156" s="16">
        <f t="shared" ca="1" si="22"/>
        <v>40.260000000000005</v>
      </c>
      <c r="K156" s="15" t="str" cm="1">
        <f t="array" aca="1" ref="K156" ca="1">INDEX(Lists!$D$1:$D$4, RANDBETWEEN(1,4))</f>
        <v>Ahmed</v>
      </c>
      <c r="L156" s="16" t="str">
        <f t="shared" si="23"/>
        <v>2025-03</v>
      </c>
      <c r="M156" s="16">
        <f t="shared" si="24"/>
        <v>2025</v>
      </c>
      <c r="N156" s="17">
        <f t="shared" ca="1" si="25"/>
        <v>4</v>
      </c>
      <c r="O156" s="16" t="str">
        <f t="shared" ca="1" si="31"/>
        <v>Medium</v>
      </c>
    </row>
    <row r="157" spans="1:15">
      <c r="A157" s="14">
        <v>45721</v>
      </c>
      <c r="B157" s="15" t="str" cm="1">
        <f t="array" aca="1" ref="B157" ca="1">INDEX(Lists!$A$1:$A$6, RANDBETWEEN(1,6))</f>
        <v>Front End Loader</v>
      </c>
      <c r="C157" s="15" t="str">
        <f ca="1">_xlfn.XLOOKUP(B157, Lists!$A$1:$A$6, Lists!$B$1:$B$6)</f>
        <v>FE1(10930360)</v>
      </c>
      <c r="D157" s="15" t="str" cm="1">
        <f t="array" aca="1" ref="D157" ca="1">INDEX(Lists!$C$1:$C$3, RANDBETWEEN(1,3))</f>
        <v>Operations</v>
      </c>
      <c r="E157" s="16">
        <f t="shared" ref="E157" ca="1" si="32">RANDBETWEEN(500,5000)</f>
        <v>2754</v>
      </c>
      <c r="F157" s="16">
        <f t="shared" ref="F157" ca="1" si="33">E157 + RANDBETWEEN(5,80)</f>
        <v>2811</v>
      </c>
      <c r="G157" s="16">
        <f t="shared" ca="1" si="21"/>
        <v>57</v>
      </c>
      <c r="H157" s="16">
        <f t="shared" ref="H157" ca="1" si="34">ROUND(RANDBETWEEN(5,25)*0.5,1)</f>
        <v>4</v>
      </c>
      <c r="I157" s="16">
        <f t="shared" ref="I157" ca="1" si="35">ROUND(3.2 + RAND()*0.6, 2)</f>
        <v>3.6</v>
      </c>
      <c r="J157" s="16">
        <f t="shared" ca="1" si="22"/>
        <v>14.4</v>
      </c>
      <c r="K157" s="15" t="str" cm="1">
        <f t="array" aca="1" ref="K157" ca="1">INDEX(Lists!$D$1:$D$4, RANDBETWEEN(1,4))</f>
        <v>Ahmed</v>
      </c>
      <c r="L157" s="16" t="str">
        <f t="shared" si="23"/>
        <v>2025-03</v>
      </c>
      <c r="M157" s="16">
        <f t="shared" si="24"/>
        <v>2025</v>
      </c>
      <c r="N157" s="17">
        <f t="shared" ca="1" si="25"/>
        <v>14.25</v>
      </c>
      <c r="O157" s="16" t="str">
        <f t="shared" ca="1" si="31"/>
        <v>Long</v>
      </c>
    </row>
    <row r="158" spans="1:15">
      <c r="A158" s="14">
        <v>45722</v>
      </c>
      <c r="B158" s="15" t="str" cm="1">
        <f t="array" aca="1" ref="B158" ca="1">INDEX(Lists!$A$1:$A$6, RANDBETWEEN(1,6))</f>
        <v>Boom Lift</v>
      </c>
      <c r="C158" s="15" t="str">
        <f ca="1">_xlfn.XLOOKUP(B158, Lists!$A$1:$A$6, Lists!$B$1:$B$6)</f>
        <v>BL8(1047802)</v>
      </c>
      <c r="D158" s="15" t="str" cm="1">
        <f t="array" aca="1" ref="D158" ca="1">INDEX(Lists!$C$1:$C$3, RANDBETWEEN(1,3))</f>
        <v>Maintenance</v>
      </c>
      <c r="E158" s="16">
        <f t="shared" ca="1" si="1"/>
        <v>4945</v>
      </c>
      <c r="F158" s="16">
        <f t="shared" ca="1" si="2"/>
        <v>4981</v>
      </c>
      <c r="G158" s="16">
        <f t="shared" ca="1" si="21"/>
        <v>36</v>
      </c>
      <c r="H158" s="16">
        <f t="shared" ca="1" si="4"/>
        <v>10</v>
      </c>
      <c r="I158" s="16">
        <f t="shared" ca="1" si="5"/>
        <v>3.41</v>
      </c>
      <c r="J158" s="16">
        <f t="shared" ca="1" si="22"/>
        <v>34.1</v>
      </c>
      <c r="K158" s="15" t="str" cm="1">
        <f t="array" aca="1" ref="K158" ca="1">INDEX(Lists!$D$1:$D$4, RANDBETWEEN(1,4))</f>
        <v>Ravi</v>
      </c>
      <c r="L158" s="16" t="str">
        <f t="shared" si="23"/>
        <v>2025-03</v>
      </c>
      <c r="M158" s="16">
        <f t="shared" si="24"/>
        <v>2025</v>
      </c>
      <c r="N158" s="17">
        <f t="shared" ca="1" si="25"/>
        <v>3.6</v>
      </c>
      <c r="O158" s="16" t="str">
        <f t="shared" ca="1" si="31"/>
        <v>Medium</v>
      </c>
    </row>
    <row r="159" spans="1:15">
      <c r="A159" s="14">
        <v>45723</v>
      </c>
      <c r="B159" s="15" t="str" cm="1">
        <f t="array" aca="1" ref="B159" ca="1">INDEX(Lists!$A$1:$A$6, RANDBETWEEN(1,6))</f>
        <v>Welding Machine</v>
      </c>
      <c r="C159" s="15" t="str">
        <f ca="1">_xlfn.XLOOKUP(B159, Lists!$A$1:$A$6, Lists!$B$1:$B$6)</f>
        <v>WM12(WD5-000729)</v>
      </c>
      <c r="D159" s="15" t="str" cm="1">
        <f t="array" aca="1" ref="D159" ca="1">INDEX(Lists!$C$1:$C$3, RANDBETWEEN(1,3))</f>
        <v>Operations</v>
      </c>
      <c r="E159" s="16">
        <f t="shared" ca="1" si="1"/>
        <v>2068</v>
      </c>
      <c r="F159" s="16">
        <f t="shared" ca="1" si="2"/>
        <v>2141</v>
      </c>
      <c r="G159" s="16">
        <f t="shared" ca="1" si="21"/>
        <v>73</v>
      </c>
      <c r="H159" s="16">
        <f t="shared" ca="1" si="4"/>
        <v>11</v>
      </c>
      <c r="I159" s="16">
        <f t="shared" ca="1" si="5"/>
        <v>3.4</v>
      </c>
      <c r="J159" s="16">
        <f t="shared" ca="1" si="22"/>
        <v>37.4</v>
      </c>
      <c r="K159" s="15" t="str" cm="1">
        <f t="array" aca="1" ref="K159" ca="1">INDEX(Lists!$D$1:$D$4, RANDBETWEEN(1,4))</f>
        <v>Ahmed</v>
      </c>
      <c r="L159" s="16" t="str">
        <f t="shared" si="23"/>
        <v>2025-03</v>
      </c>
      <c r="M159" s="16">
        <f t="shared" si="24"/>
        <v>2025</v>
      </c>
      <c r="N159" s="17">
        <f t="shared" ca="1" si="25"/>
        <v>6.6363636363636367</v>
      </c>
      <c r="O159" s="16" t="str">
        <f t="shared" ca="1" si="31"/>
        <v>Long</v>
      </c>
    </row>
    <row r="160" spans="1:15">
      <c r="A160" s="14">
        <v>45724</v>
      </c>
      <c r="B160" s="15" t="str" cm="1">
        <f t="array" aca="1" ref="B160" ca="1">INDEX(Lists!$A$1:$A$6, RANDBETWEEN(1,6))</f>
        <v>Bobcat</v>
      </c>
      <c r="C160" s="15" t="str">
        <f ca="1">_xlfn.XLOOKUP(B160, Lists!$A$1:$A$6, Lists!$B$1:$B$6)</f>
        <v>BC1(10931016)</v>
      </c>
      <c r="D160" s="15" t="str" cm="1">
        <f t="array" aca="1" ref="D160" ca="1">INDEX(Lists!$C$1:$C$3, RANDBETWEEN(1,3))</f>
        <v>Maintenance</v>
      </c>
      <c r="E160" s="16">
        <f t="shared" ca="1" si="1"/>
        <v>4621</v>
      </c>
      <c r="F160" s="16">
        <f t="shared" ca="1" si="2"/>
        <v>4672</v>
      </c>
      <c r="G160" s="16">
        <f t="shared" ca="1" si="21"/>
        <v>51</v>
      </c>
      <c r="H160" s="16">
        <f t="shared" ca="1" si="4"/>
        <v>5.5</v>
      </c>
      <c r="I160" s="16">
        <f t="shared" ca="1" si="5"/>
        <v>3.3</v>
      </c>
      <c r="J160" s="16">
        <f t="shared" ca="1" si="22"/>
        <v>18.149999999999999</v>
      </c>
      <c r="K160" s="15" t="str" cm="1">
        <f t="array" aca="1" ref="K160" ca="1">INDEX(Lists!$D$1:$D$4, RANDBETWEEN(1,4))</f>
        <v>Ahmed</v>
      </c>
      <c r="L160" s="16" t="str">
        <f t="shared" si="23"/>
        <v>2025-03</v>
      </c>
      <c r="M160" s="16">
        <f t="shared" si="24"/>
        <v>2025</v>
      </c>
      <c r="N160" s="17">
        <f t="shared" ca="1" si="25"/>
        <v>9.2727272727272734</v>
      </c>
      <c r="O160" s="16" t="str">
        <f t="shared" ca="1" si="31"/>
        <v>Long</v>
      </c>
    </row>
    <row r="161" spans="1:15">
      <c r="A161" s="14">
        <v>45725</v>
      </c>
      <c r="B161" s="15" t="str" cm="1">
        <f t="array" aca="1" ref="B161" ca="1">INDEX(Lists!$A$1:$A$6, RANDBETWEEN(1,6))</f>
        <v>Bobcat</v>
      </c>
      <c r="C161" s="15" t="str">
        <f ca="1">_xlfn.XLOOKUP(B161, Lists!$A$1:$A$6, Lists!$B$1:$B$6)</f>
        <v>BC1(10931016)</v>
      </c>
      <c r="D161" s="15" t="str" cm="1">
        <f t="array" aca="1" ref="D161" ca="1">INDEX(Lists!$C$1:$C$3, RANDBETWEEN(1,3))</f>
        <v>Operations</v>
      </c>
      <c r="E161" s="16">
        <f t="shared" ca="1" si="1"/>
        <v>3353</v>
      </c>
      <c r="F161" s="16">
        <f t="shared" ca="1" si="2"/>
        <v>3425</v>
      </c>
      <c r="G161" s="16">
        <f t="shared" ca="1" si="21"/>
        <v>72</v>
      </c>
      <c r="H161" s="16">
        <f t="shared" ca="1" si="4"/>
        <v>4.5</v>
      </c>
      <c r="I161" s="16">
        <f t="shared" ca="1" si="5"/>
        <v>3.35</v>
      </c>
      <c r="J161" s="16">
        <f t="shared" ca="1" si="22"/>
        <v>15.075000000000001</v>
      </c>
      <c r="K161" s="15" t="str" cm="1">
        <f t="array" aca="1" ref="K161" ca="1">INDEX(Lists!$D$1:$D$4, RANDBETWEEN(1,4))</f>
        <v>Ravi</v>
      </c>
      <c r="L161" s="16" t="str">
        <f t="shared" si="23"/>
        <v>2025-03</v>
      </c>
      <c r="M161" s="16">
        <f t="shared" si="24"/>
        <v>2025</v>
      </c>
      <c r="N161" s="17">
        <f t="shared" ca="1" si="25"/>
        <v>16</v>
      </c>
      <c r="O161" s="16" t="str">
        <f t="shared" ca="1" si="31"/>
        <v>Long</v>
      </c>
    </row>
    <row r="162" spans="1:15">
      <c r="A162" s="14">
        <v>45726</v>
      </c>
      <c r="B162" s="15" t="str" cm="1">
        <f t="array" aca="1" ref="B162" ca="1">INDEX(Lists!$A$1:$A$6, RANDBETWEEN(1,6))</f>
        <v>Front End Loader</v>
      </c>
      <c r="C162" s="15" t="str">
        <f ca="1">_xlfn.XLOOKUP(B162, Lists!$A$1:$A$6, Lists!$B$1:$B$6)</f>
        <v>FE1(10930360)</v>
      </c>
      <c r="D162" s="15" t="str" cm="1">
        <f t="array" aca="1" ref="D162" ca="1">INDEX(Lists!$C$1:$C$3, RANDBETWEEN(1,3))</f>
        <v>Maintenance</v>
      </c>
      <c r="E162" s="16">
        <f t="shared" ca="1" si="1"/>
        <v>2152</v>
      </c>
      <c r="F162" s="16">
        <f t="shared" ca="1" si="2"/>
        <v>2219</v>
      </c>
      <c r="G162" s="16">
        <f t="shared" ref="G162:G201" ca="1" si="36">F162 - E162</f>
        <v>67</v>
      </c>
      <c r="H162" s="16">
        <f t="shared" ca="1" si="4"/>
        <v>10</v>
      </c>
      <c r="I162" s="16">
        <f t="shared" ca="1" si="5"/>
        <v>3.46</v>
      </c>
      <c r="J162" s="16">
        <f t="shared" ref="J162:J201" ca="1" si="37">H162 * I162</f>
        <v>34.6</v>
      </c>
      <c r="K162" s="15" t="str" cm="1">
        <f t="array" aca="1" ref="K162" ca="1">INDEX(Lists!$D$1:$D$4, RANDBETWEEN(1,4))</f>
        <v>Ravi</v>
      </c>
      <c r="L162" s="16" t="str">
        <f t="shared" ref="L162:L201" si="38">TEXT(A162,"yyyy-mm")</f>
        <v>2025-03</v>
      </c>
      <c r="M162" s="16">
        <f t="shared" ref="M162:M201" si="39">YEAR(A162)</f>
        <v>2025</v>
      </c>
      <c r="N162" s="17">
        <f t="shared" ref="N162:N201" ca="1" si="40">IF(H162=0,"", G162/H162)</f>
        <v>6.7</v>
      </c>
      <c r="O162" s="16" t="str">
        <f t="shared" ref="O162:O193" ca="1" si="41">IF(G162&lt;20,"Short", IF(G162&lt;=50,"Medium","Long"))</f>
        <v>Long</v>
      </c>
    </row>
    <row r="163" spans="1:15">
      <c r="A163" s="14">
        <v>45727</v>
      </c>
      <c r="B163" s="15" t="str" cm="1">
        <f t="array" aca="1" ref="B163" ca="1">INDEX(Lists!$A$1:$A$6, RANDBETWEEN(1,6))</f>
        <v>Boom Lift</v>
      </c>
      <c r="C163" s="15" t="str">
        <f ca="1">_xlfn.XLOOKUP(B163, Lists!$A$1:$A$6, Lists!$B$1:$B$6)</f>
        <v>BL8(1047802)</v>
      </c>
      <c r="D163" s="15" t="str" cm="1">
        <f t="array" aca="1" ref="D163" ca="1">INDEX(Lists!$C$1:$C$3, RANDBETWEEN(1,3))</f>
        <v>Yard</v>
      </c>
      <c r="E163" s="16">
        <f t="shared" ca="1" si="1"/>
        <v>2537</v>
      </c>
      <c r="F163" s="16">
        <f t="shared" ca="1" si="2"/>
        <v>2543</v>
      </c>
      <c r="G163" s="16">
        <f t="shared" ca="1" si="36"/>
        <v>6</v>
      </c>
      <c r="H163" s="16">
        <f t="shared" ca="1" si="4"/>
        <v>11</v>
      </c>
      <c r="I163" s="16">
        <f t="shared" ca="1" si="5"/>
        <v>3.79</v>
      </c>
      <c r="J163" s="16">
        <f t="shared" ca="1" si="37"/>
        <v>41.69</v>
      </c>
      <c r="K163" s="15" t="str" cm="1">
        <f t="array" aca="1" ref="K163" ca="1">INDEX(Lists!$D$1:$D$4, RANDBETWEEN(1,4))</f>
        <v>Ravi</v>
      </c>
      <c r="L163" s="16" t="str">
        <f t="shared" si="38"/>
        <v>2025-03</v>
      </c>
      <c r="M163" s="16">
        <f t="shared" si="39"/>
        <v>2025</v>
      </c>
      <c r="N163" s="17">
        <f t="shared" ca="1" si="40"/>
        <v>0.54545454545454541</v>
      </c>
      <c r="O163" s="16" t="str">
        <f t="shared" ca="1" si="41"/>
        <v>Short</v>
      </c>
    </row>
    <row r="164" spans="1:15">
      <c r="A164" s="14">
        <v>45728</v>
      </c>
      <c r="B164" s="15" t="str" cm="1">
        <f t="array" aca="1" ref="B164" ca="1">INDEX(Lists!$A$1:$A$6, RANDBETWEEN(1,6))</f>
        <v>Front End Loader</v>
      </c>
      <c r="C164" s="15" t="str">
        <f ca="1">_xlfn.XLOOKUP(B164, Lists!$A$1:$A$6, Lists!$B$1:$B$6)</f>
        <v>FE1(10930360)</v>
      </c>
      <c r="D164" s="15" t="str" cm="1">
        <f t="array" aca="1" ref="D164" ca="1">INDEX(Lists!$C$1:$C$3, RANDBETWEEN(1,3))</f>
        <v>Yard</v>
      </c>
      <c r="E164" s="16">
        <f t="shared" ca="1" si="1"/>
        <v>2675</v>
      </c>
      <c r="F164" s="16">
        <f t="shared" ca="1" si="2"/>
        <v>2734</v>
      </c>
      <c r="G164" s="16">
        <f t="shared" ca="1" si="36"/>
        <v>59</v>
      </c>
      <c r="H164" s="16">
        <f t="shared" ca="1" si="4"/>
        <v>8</v>
      </c>
      <c r="I164" s="16">
        <f t="shared" ca="1" si="5"/>
        <v>3.62</v>
      </c>
      <c r="J164" s="16">
        <f t="shared" ca="1" si="37"/>
        <v>28.96</v>
      </c>
      <c r="K164" s="15" t="str" cm="1">
        <f t="array" aca="1" ref="K164" ca="1">INDEX(Lists!$D$1:$D$4, RANDBETWEEN(1,4))</f>
        <v>Ahmed</v>
      </c>
      <c r="L164" s="16" t="str">
        <f t="shared" si="38"/>
        <v>2025-03</v>
      </c>
      <c r="M164" s="16">
        <f t="shared" si="39"/>
        <v>2025</v>
      </c>
      <c r="N164" s="17">
        <f t="shared" ca="1" si="40"/>
        <v>7.375</v>
      </c>
      <c r="O164" s="16" t="str">
        <f t="shared" ca="1" si="41"/>
        <v>Long</v>
      </c>
    </row>
    <row r="165" spans="1:15">
      <c r="A165" s="14">
        <v>45729</v>
      </c>
      <c r="B165" s="15" t="str" cm="1">
        <f t="array" aca="1" ref="B165" ca="1">INDEX(Lists!$A$1:$A$6, RANDBETWEEN(1,6))</f>
        <v>Boom Lift</v>
      </c>
      <c r="C165" s="15" t="str">
        <f ca="1">_xlfn.XLOOKUP(B165, Lists!$A$1:$A$6, Lists!$B$1:$B$6)</f>
        <v>BL8(1047802)</v>
      </c>
      <c r="D165" s="15" t="str" cm="1">
        <f t="array" aca="1" ref="D165" ca="1">INDEX(Lists!$C$1:$C$3, RANDBETWEEN(1,3))</f>
        <v>Maintenance</v>
      </c>
      <c r="E165" s="16">
        <f t="shared" ca="1" si="1"/>
        <v>2558</v>
      </c>
      <c r="F165" s="16">
        <f t="shared" ca="1" si="2"/>
        <v>2572</v>
      </c>
      <c r="G165" s="16">
        <f t="shared" ca="1" si="36"/>
        <v>14</v>
      </c>
      <c r="H165" s="16">
        <f t="shared" ca="1" si="4"/>
        <v>4</v>
      </c>
      <c r="I165" s="16">
        <f t="shared" ca="1" si="5"/>
        <v>3.44</v>
      </c>
      <c r="J165" s="16">
        <f t="shared" ca="1" si="37"/>
        <v>13.76</v>
      </c>
      <c r="K165" s="15" t="str" cm="1">
        <f t="array" aca="1" ref="K165" ca="1">INDEX(Lists!$D$1:$D$4, RANDBETWEEN(1,4))</f>
        <v>Jose</v>
      </c>
      <c r="L165" s="16" t="str">
        <f t="shared" si="38"/>
        <v>2025-03</v>
      </c>
      <c r="M165" s="16">
        <f t="shared" si="39"/>
        <v>2025</v>
      </c>
      <c r="N165" s="17">
        <f t="shared" ca="1" si="40"/>
        <v>3.5</v>
      </c>
      <c r="O165" s="16" t="str">
        <f t="shared" ca="1" si="41"/>
        <v>Short</v>
      </c>
    </row>
    <row r="166" spans="1:15">
      <c r="A166" s="14">
        <v>45730</v>
      </c>
      <c r="B166" s="15" t="str" cm="1">
        <f t="array" aca="1" ref="B166" ca="1">INDEX(Lists!$A$1:$A$6, RANDBETWEEN(1,6))</f>
        <v>Bobcat</v>
      </c>
      <c r="C166" s="15" t="str">
        <f ca="1">_xlfn.XLOOKUP(B166, Lists!$A$1:$A$6, Lists!$B$1:$B$6)</f>
        <v>BC1(10931016)</v>
      </c>
      <c r="D166" s="15" t="str" cm="1">
        <f t="array" aca="1" ref="D166" ca="1">INDEX(Lists!$C$1:$C$3, RANDBETWEEN(1,3))</f>
        <v>Operations</v>
      </c>
      <c r="E166" s="16">
        <f t="shared" ca="1" si="1"/>
        <v>3757</v>
      </c>
      <c r="F166" s="16">
        <f t="shared" ca="1" si="2"/>
        <v>3828</v>
      </c>
      <c r="G166" s="16">
        <f t="shared" ca="1" si="36"/>
        <v>71</v>
      </c>
      <c r="H166" s="16">
        <f t="shared" ca="1" si="4"/>
        <v>3</v>
      </c>
      <c r="I166" s="16">
        <f t="shared" ca="1" si="5"/>
        <v>3.38</v>
      </c>
      <c r="J166" s="16">
        <f t="shared" ca="1" si="37"/>
        <v>10.14</v>
      </c>
      <c r="K166" s="15" t="str" cm="1">
        <f t="array" aca="1" ref="K166" ca="1">INDEX(Lists!$D$1:$D$4, RANDBETWEEN(1,4))</f>
        <v>Maria</v>
      </c>
      <c r="L166" s="16" t="str">
        <f t="shared" si="38"/>
        <v>2025-03</v>
      </c>
      <c r="M166" s="16">
        <f t="shared" si="39"/>
        <v>2025</v>
      </c>
      <c r="N166" s="17">
        <f t="shared" ca="1" si="40"/>
        <v>23.666666666666668</v>
      </c>
      <c r="O166" s="16" t="str">
        <f t="shared" ca="1" si="41"/>
        <v>Long</v>
      </c>
    </row>
    <row r="167" spans="1:15">
      <c r="A167" s="14">
        <v>45731</v>
      </c>
      <c r="B167" s="15" t="str" cm="1">
        <f t="array" aca="1" ref="B167" ca="1">INDEX(Lists!$A$1:$A$6, RANDBETWEEN(1,6))</f>
        <v>Front End Loader</v>
      </c>
      <c r="C167" s="15" t="str">
        <f ca="1">_xlfn.XLOOKUP(B167, Lists!$A$1:$A$6, Lists!$B$1:$B$6)</f>
        <v>FE1(10930360)</v>
      </c>
      <c r="D167" s="15" t="str" cm="1">
        <f t="array" aca="1" ref="D167" ca="1">INDEX(Lists!$C$1:$C$3, RANDBETWEEN(1,3))</f>
        <v>Maintenance</v>
      </c>
      <c r="E167" s="16">
        <f t="shared" ca="1" si="1"/>
        <v>3983</v>
      </c>
      <c r="F167" s="16">
        <f t="shared" ca="1" si="2"/>
        <v>4044</v>
      </c>
      <c r="G167" s="16">
        <f t="shared" ca="1" si="36"/>
        <v>61</v>
      </c>
      <c r="H167" s="16">
        <f t="shared" ca="1" si="4"/>
        <v>12.5</v>
      </c>
      <c r="I167" s="16">
        <f t="shared" ca="1" si="5"/>
        <v>3.79</v>
      </c>
      <c r="J167" s="16">
        <f t="shared" ca="1" si="37"/>
        <v>47.375</v>
      </c>
      <c r="K167" s="15" t="str" cm="1">
        <f t="array" aca="1" ref="K167" ca="1">INDEX(Lists!$D$1:$D$4, RANDBETWEEN(1,4))</f>
        <v>Ahmed</v>
      </c>
      <c r="L167" s="16" t="str">
        <f t="shared" si="38"/>
        <v>2025-03</v>
      </c>
      <c r="M167" s="16">
        <f t="shared" si="39"/>
        <v>2025</v>
      </c>
      <c r="N167" s="17">
        <f t="shared" ca="1" si="40"/>
        <v>4.88</v>
      </c>
      <c r="O167" s="16" t="str">
        <f t="shared" ca="1" si="41"/>
        <v>Long</v>
      </c>
    </row>
    <row r="168" spans="1:15">
      <c r="A168" s="14">
        <v>45732</v>
      </c>
      <c r="B168" s="15" t="str" cm="1">
        <f t="array" aca="1" ref="B168" ca="1">INDEX(Lists!$A$1:$A$6, RANDBETWEEN(1,6))</f>
        <v>Front End Loader</v>
      </c>
      <c r="C168" s="15" t="str">
        <f ca="1">_xlfn.XLOOKUP(B168, Lists!$A$1:$A$6, Lists!$B$1:$B$6)</f>
        <v>FE1(10930360)</v>
      </c>
      <c r="D168" s="15" t="str" cm="1">
        <f t="array" aca="1" ref="D168" ca="1">INDEX(Lists!$C$1:$C$3, RANDBETWEEN(1,3))</f>
        <v>Operations</v>
      </c>
      <c r="E168" s="16">
        <f t="shared" ca="1" si="1"/>
        <v>3215</v>
      </c>
      <c r="F168" s="16">
        <f t="shared" ca="1" si="2"/>
        <v>3233</v>
      </c>
      <c r="G168" s="16">
        <f t="shared" ca="1" si="36"/>
        <v>18</v>
      </c>
      <c r="H168" s="16">
        <f t="shared" ca="1" si="4"/>
        <v>8</v>
      </c>
      <c r="I168" s="16">
        <f t="shared" ca="1" si="5"/>
        <v>3.78</v>
      </c>
      <c r="J168" s="16">
        <f t="shared" ca="1" si="37"/>
        <v>30.24</v>
      </c>
      <c r="K168" s="15" t="str" cm="1">
        <f t="array" aca="1" ref="K168" ca="1">INDEX(Lists!$D$1:$D$4, RANDBETWEEN(1,4))</f>
        <v>Ravi</v>
      </c>
      <c r="L168" s="16" t="str">
        <f t="shared" si="38"/>
        <v>2025-03</v>
      </c>
      <c r="M168" s="16">
        <f t="shared" si="39"/>
        <v>2025</v>
      </c>
      <c r="N168" s="17">
        <f t="shared" ca="1" si="40"/>
        <v>2.25</v>
      </c>
      <c r="O168" s="16" t="str">
        <f t="shared" ca="1" si="41"/>
        <v>Short</v>
      </c>
    </row>
    <row r="169" spans="1:15">
      <c r="A169" s="14">
        <v>45733</v>
      </c>
      <c r="B169" s="15" t="str" cm="1">
        <f t="array" aca="1" ref="B169" ca="1">INDEX(Lists!$A$1:$A$6, RANDBETWEEN(1,6))</f>
        <v>Welding Machine</v>
      </c>
      <c r="C169" s="15" t="str">
        <f ca="1">_xlfn.XLOOKUP(B169, Lists!$A$1:$A$6, Lists!$B$1:$B$6)</f>
        <v>WM12(WD5-000729)</v>
      </c>
      <c r="D169" s="15" t="str" cm="1">
        <f t="array" aca="1" ref="D169" ca="1">INDEX(Lists!$C$1:$C$3, RANDBETWEEN(1,3))</f>
        <v>Maintenance</v>
      </c>
      <c r="E169" s="16">
        <f t="shared" ca="1" si="1"/>
        <v>3349</v>
      </c>
      <c r="F169" s="16">
        <f t="shared" ca="1" si="2"/>
        <v>3388</v>
      </c>
      <c r="G169" s="16">
        <f t="shared" ca="1" si="36"/>
        <v>39</v>
      </c>
      <c r="H169" s="16">
        <f t="shared" ca="1" si="4"/>
        <v>7.5</v>
      </c>
      <c r="I169" s="16">
        <f t="shared" ca="1" si="5"/>
        <v>3.76</v>
      </c>
      <c r="J169" s="16">
        <f t="shared" ca="1" si="37"/>
        <v>28.2</v>
      </c>
      <c r="K169" s="15" t="str" cm="1">
        <f t="array" aca="1" ref="K169" ca="1">INDEX(Lists!$D$1:$D$4, RANDBETWEEN(1,4))</f>
        <v>Jose</v>
      </c>
      <c r="L169" s="16" t="str">
        <f t="shared" si="38"/>
        <v>2025-03</v>
      </c>
      <c r="M169" s="16">
        <f t="shared" si="39"/>
        <v>2025</v>
      </c>
      <c r="N169" s="17">
        <f t="shared" ca="1" si="40"/>
        <v>5.2</v>
      </c>
      <c r="O169" s="16" t="str">
        <f t="shared" ca="1" si="41"/>
        <v>Medium</v>
      </c>
    </row>
    <row r="170" spans="1:15">
      <c r="A170" s="14">
        <v>45734</v>
      </c>
      <c r="B170" s="15" t="str" cm="1">
        <f t="array" aca="1" ref="B170" ca="1">INDEX(Lists!$A$1:$A$6, RANDBETWEEN(1,6))</f>
        <v>Forklift</v>
      </c>
      <c r="C170" s="15" t="str">
        <f ca="1">_xlfn.XLOOKUP(B170, Lists!$A$1:$A$6, Lists!$B$1:$B$6)</f>
        <v>F7(217595AH)</v>
      </c>
      <c r="D170" s="15" t="str" cm="1">
        <f t="array" aca="1" ref="D170" ca="1">INDEX(Lists!$C$1:$C$3, RANDBETWEEN(1,3))</f>
        <v>Maintenance</v>
      </c>
      <c r="E170" s="16">
        <f t="shared" ca="1" si="1"/>
        <v>2422</v>
      </c>
      <c r="F170" s="16">
        <f t="shared" ca="1" si="2"/>
        <v>2456</v>
      </c>
      <c r="G170" s="16">
        <f t="shared" ca="1" si="36"/>
        <v>34</v>
      </c>
      <c r="H170" s="16">
        <f t="shared" ca="1" si="4"/>
        <v>8</v>
      </c>
      <c r="I170" s="16">
        <f t="shared" ca="1" si="5"/>
        <v>3.52</v>
      </c>
      <c r="J170" s="16">
        <f t="shared" ca="1" si="37"/>
        <v>28.16</v>
      </c>
      <c r="K170" s="15" t="str" cm="1">
        <f t="array" aca="1" ref="K170" ca="1">INDEX(Lists!$D$1:$D$4, RANDBETWEEN(1,4))</f>
        <v>Ahmed</v>
      </c>
      <c r="L170" s="16" t="str">
        <f t="shared" si="38"/>
        <v>2025-03</v>
      </c>
      <c r="M170" s="16">
        <f t="shared" si="39"/>
        <v>2025</v>
      </c>
      <c r="N170" s="17">
        <f t="shared" ca="1" si="40"/>
        <v>4.25</v>
      </c>
      <c r="O170" s="16" t="str">
        <f t="shared" ca="1" si="41"/>
        <v>Medium</v>
      </c>
    </row>
    <row r="171" spans="1:15">
      <c r="A171" s="14">
        <v>45735</v>
      </c>
      <c r="B171" s="15" t="str" cm="1">
        <f t="array" aca="1" ref="B171" ca="1">INDEX(Lists!$A$1:$A$6, RANDBETWEEN(1,6))</f>
        <v>Front End Loader</v>
      </c>
      <c r="C171" s="15" t="str">
        <f ca="1">_xlfn.XLOOKUP(B171, Lists!$A$1:$A$6, Lists!$B$1:$B$6)</f>
        <v>FE1(10930360)</v>
      </c>
      <c r="D171" s="15" t="str" cm="1">
        <f t="array" aca="1" ref="D171" ca="1">INDEX(Lists!$C$1:$C$3, RANDBETWEEN(1,3))</f>
        <v>Yard</v>
      </c>
      <c r="E171" s="16">
        <f t="shared" ca="1" si="1"/>
        <v>3216</v>
      </c>
      <c r="F171" s="16">
        <f t="shared" ca="1" si="2"/>
        <v>3250</v>
      </c>
      <c r="G171" s="16">
        <f t="shared" ca="1" si="36"/>
        <v>34</v>
      </c>
      <c r="H171" s="16">
        <f t="shared" ca="1" si="4"/>
        <v>8.5</v>
      </c>
      <c r="I171" s="16">
        <f t="shared" ca="1" si="5"/>
        <v>3.74</v>
      </c>
      <c r="J171" s="16">
        <f t="shared" ca="1" si="37"/>
        <v>31.790000000000003</v>
      </c>
      <c r="K171" s="15" t="str" cm="1">
        <f t="array" aca="1" ref="K171" ca="1">INDEX(Lists!$D$1:$D$4, RANDBETWEEN(1,4))</f>
        <v>Ravi</v>
      </c>
      <c r="L171" s="16" t="str">
        <f t="shared" si="38"/>
        <v>2025-03</v>
      </c>
      <c r="M171" s="16">
        <f t="shared" si="39"/>
        <v>2025</v>
      </c>
      <c r="N171" s="17">
        <f t="shared" ca="1" si="40"/>
        <v>4</v>
      </c>
      <c r="O171" s="16" t="str">
        <f t="shared" ca="1" si="41"/>
        <v>Medium</v>
      </c>
    </row>
    <row r="172" spans="1:15">
      <c r="A172" s="14">
        <v>45736</v>
      </c>
      <c r="B172" s="15" t="str" cm="1">
        <f t="array" aca="1" ref="B172" ca="1">INDEX(Lists!$A$1:$A$6, RANDBETWEEN(1,6))</f>
        <v>Front End Loader</v>
      </c>
      <c r="C172" s="15" t="str">
        <f ca="1">_xlfn.XLOOKUP(B172, Lists!$A$1:$A$6, Lists!$B$1:$B$6)</f>
        <v>FE1(10930360)</v>
      </c>
      <c r="D172" s="15" t="str" cm="1">
        <f t="array" aca="1" ref="D172" ca="1">INDEX(Lists!$C$1:$C$3, RANDBETWEEN(1,3))</f>
        <v>Yard</v>
      </c>
      <c r="E172" s="16">
        <f t="shared" ca="1" si="1"/>
        <v>4683</v>
      </c>
      <c r="F172" s="16">
        <f t="shared" ca="1" si="2"/>
        <v>4759</v>
      </c>
      <c r="G172" s="16">
        <f t="shared" ca="1" si="36"/>
        <v>76</v>
      </c>
      <c r="H172" s="16">
        <f t="shared" ca="1" si="4"/>
        <v>6</v>
      </c>
      <c r="I172" s="16">
        <f t="shared" ca="1" si="5"/>
        <v>3.5</v>
      </c>
      <c r="J172" s="16">
        <f t="shared" ca="1" si="37"/>
        <v>21</v>
      </c>
      <c r="K172" s="15" t="str" cm="1">
        <f t="array" aca="1" ref="K172" ca="1">INDEX(Lists!$D$1:$D$4, RANDBETWEEN(1,4))</f>
        <v>Ravi</v>
      </c>
      <c r="L172" s="16" t="str">
        <f t="shared" si="38"/>
        <v>2025-03</v>
      </c>
      <c r="M172" s="16">
        <f t="shared" si="39"/>
        <v>2025</v>
      </c>
      <c r="N172" s="17">
        <f t="shared" ca="1" si="40"/>
        <v>12.666666666666666</v>
      </c>
      <c r="O172" s="16" t="str">
        <f t="shared" ca="1" si="41"/>
        <v>Long</v>
      </c>
    </row>
    <row r="173" spans="1:15">
      <c r="A173" s="14">
        <v>45737</v>
      </c>
      <c r="B173" s="15" t="str" cm="1">
        <f t="array" aca="1" ref="B173" ca="1">INDEX(Lists!$A$1:$A$6, RANDBETWEEN(1,6))</f>
        <v>Bobcat</v>
      </c>
      <c r="C173" s="15" t="str">
        <f ca="1">_xlfn.XLOOKUP(B173, Lists!$A$1:$A$6, Lists!$B$1:$B$6)</f>
        <v>BC1(10931016)</v>
      </c>
      <c r="D173" s="15" t="str" cm="1">
        <f t="array" aca="1" ref="D173" ca="1">INDEX(Lists!$C$1:$C$3, RANDBETWEEN(1,3))</f>
        <v>Maintenance</v>
      </c>
      <c r="E173" s="16">
        <f t="shared" ca="1" si="1"/>
        <v>4412</v>
      </c>
      <c r="F173" s="16">
        <f t="shared" ca="1" si="2"/>
        <v>4467</v>
      </c>
      <c r="G173" s="16">
        <f t="shared" ca="1" si="36"/>
        <v>55</v>
      </c>
      <c r="H173" s="16">
        <f t="shared" ca="1" si="4"/>
        <v>5</v>
      </c>
      <c r="I173" s="16">
        <f t="shared" ca="1" si="5"/>
        <v>3.53</v>
      </c>
      <c r="J173" s="16">
        <f t="shared" ca="1" si="37"/>
        <v>17.649999999999999</v>
      </c>
      <c r="K173" s="15" t="str" cm="1">
        <f t="array" aca="1" ref="K173" ca="1">INDEX(Lists!$D$1:$D$4, RANDBETWEEN(1,4))</f>
        <v>Ravi</v>
      </c>
      <c r="L173" s="16" t="str">
        <f t="shared" si="38"/>
        <v>2025-03</v>
      </c>
      <c r="M173" s="16">
        <f t="shared" si="39"/>
        <v>2025</v>
      </c>
      <c r="N173" s="17">
        <f t="shared" ca="1" si="40"/>
        <v>11</v>
      </c>
      <c r="O173" s="16" t="str">
        <f t="shared" ca="1" si="41"/>
        <v>Long</v>
      </c>
    </row>
    <row r="174" spans="1:15">
      <c r="A174" s="14">
        <v>45738</v>
      </c>
      <c r="B174" s="15" t="str" cm="1">
        <f t="array" aca="1" ref="B174" ca="1">INDEX(Lists!$A$1:$A$6, RANDBETWEEN(1,6))</f>
        <v>Bobcat</v>
      </c>
      <c r="C174" s="15" t="str">
        <f ca="1">_xlfn.XLOOKUP(B174, Lists!$A$1:$A$6, Lists!$B$1:$B$6)</f>
        <v>BC1(10931016)</v>
      </c>
      <c r="D174" s="15" t="str" cm="1">
        <f t="array" aca="1" ref="D174" ca="1">INDEX(Lists!$C$1:$C$3, RANDBETWEEN(1,3))</f>
        <v>Yard</v>
      </c>
      <c r="E174" s="16">
        <f t="shared" ca="1" si="1"/>
        <v>3483</v>
      </c>
      <c r="F174" s="16">
        <f t="shared" ca="1" si="2"/>
        <v>3532</v>
      </c>
      <c r="G174" s="16">
        <f t="shared" ca="1" si="36"/>
        <v>49</v>
      </c>
      <c r="H174" s="16">
        <f t="shared" ca="1" si="4"/>
        <v>12.5</v>
      </c>
      <c r="I174" s="16">
        <f t="shared" ca="1" si="5"/>
        <v>3.28</v>
      </c>
      <c r="J174" s="16">
        <f t="shared" ca="1" si="37"/>
        <v>41</v>
      </c>
      <c r="K174" s="15" t="str" cm="1">
        <f t="array" aca="1" ref="K174" ca="1">INDEX(Lists!$D$1:$D$4, RANDBETWEEN(1,4))</f>
        <v>Maria</v>
      </c>
      <c r="L174" s="16" t="str">
        <f t="shared" si="38"/>
        <v>2025-03</v>
      </c>
      <c r="M174" s="16">
        <f t="shared" si="39"/>
        <v>2025</v>
      </c>
      <c r="N174" s="17">
        <f t="shared" ca="1" si="40"/>
        <v>3.92</v>
      </c>
      <c r="O174" s="16" t="str">
        <f t="shared" ca="1" si="41"/>
        <v>Medium</v>
      </c>
    </row>
    <row r="175" spans="1:15">
      <c r="A175" s="14">
        <v>45739</v>
      </c>
      <c r="B175" s="15" t="str" cm="1">
        <f t="array" aca="1" ref="B175" ca="1">INDEX(Lists!$A$1:$A$6, RANDBETWEEN(1,6))</f>
        <v>Mini Excavator</v>
      </c>
      <c r="C175" s="15" t="str">
        <f ca="1">_xlfn.XLOOKUP(B175, Lists!$A$1:$A$6, Lists!$B$1:$B$6)</f>
        <v>ME6(10682709)</v>
      </c>
      <c r="D175" s="15" t="str" cm="1">
        <f t="array" aca="1" ref="D175" ca="1">INDEX(Lists!$C$1:$C$3, RANDBETWEEN(1,3))</f>
        <v>Operations</v>
      </c>
      <c r="E175" s="16">
        <f t="shared" ca="1" si="1"/>
        <v>2232</v>
      </c>
      <c r="F175" s="16">
        <f t="shared" ca="1" si="2"/>
        <v>2259</v>
      </c>
      <c r="G175" s="16">
        <f t="shared" ca="1" si="36"/>
        <v>27</v>
      </c>
      <c r="H175" s="16">
        <f t="shared" ca="1" si="4"/>
        <v>9.5</v>
      </c>
      <c r="I175" s="16">
        <f t="shared" ca="1" si="5"/>
        <v>3.28</v>
      </c>
      <c r="J175" s="16">
        <f t="shared" ca="1" si="37"/>
        <v>31.159999999999997</v>
      </c>
      <c r="K175" s="15" t="str" cm="1">
        <f t="array" aca="1" ref="K175" ca="1">INDEX(Lists!$D$1:$D$4, RANDBETWEEN(1,4))</f>
        <v>Ahmed</v>
      </c>
      <c r="L175" s="16" t="str">
        <f t="shared" si="38"/>
        <v>2025-03</v>
      </c>
      <c r="M175" s="16">
        <f t="shared" si="39"/>
        <v>2025</v>
      </c>
      <c r="N175" s="17">
        <f t="shared" ca="1" si="40"/>
        <v>2.8421052631578947</v>
      </c>
      <c r="O175" s="16" t="str">
        <f t="shared" ca="1" si="41"/>
        <v>Medium</v>
      </c>
    </row>
    <row r="176" spans="1:15">
      <c r="A176" s="14">
        <v>45740</v>
      </c>
      <c r="B176" s="15" t="str" cm="1">
        <f t="array" aca="1" ref="B176" ca="1">INDEX(Lists!$A$1:$A$6, RANDBETWEEN(1,6))</f>
        <v>Boom Lift</v>
      </c>
      <c r="C176" s="15" t="str">
        <f ca="1">_xlfn.XLOOKUP(B176, Lists!$A$1:$A$6, Lists!$B$1:$B$6)</f>
        <v>BL8(1047802)</v>
      </c>
      <c r="D176" s="15" t="str" cm="1">
        <f t="array" aca="1" ref="D176" ca="1">INDEX(Lists!$C$1:$C$3, RANDBETWEEN(1,3))</f>
        <v>Maintenance</v>
      </c>
      <c r="E176" s="16">
        <f t="shared" ca="1" si="1"/>
        <v>4903</v>
      </c>
      <c r="F176" s="16">
        <f t="shared" ca="1" si="2"/>
        <v>4966</v>
      </c>
      <c r="G176" s="16">
        <f t="shared" ca="1" si="36"/>
        <v>63</v>
      </c>
      <c r="H176" s="16">
        <f t="shared" ca="1" si="4"/>
        <v>8</v>
      </c>
      <c r="I176" s="16">
        <f t="shared" ca="1" si="5"/>
        <v>3.64</v>
      </c>
      <c r="J176" s="16">
        <f t="shared" ca="1" si="37"/>
        <v>29.12</v>
      </c>
      <c r="K176" s="15" t="str" cm="1">
        <f t="array" aca="1" ref="K176" ca="1">INDEX(Lists!$D$1:$D$4, RANDBETWEEN(1,4))</f>
        <v>Ahmed</v>
      </c>
      <c r="L176" s="16" t="str">
        <f t="shared" si="38"/>
        <v>2025-03</v>
      </c>
      <c r="M176" s="16">
        <f t="shared" si="39"/>
        <v>2025</v>
      </c>
      <c r="N176" s="17">
        <f t="shared" ca="1" si="40"/>
        <v>7.875</v>
      </c>
      <c r="O176" s="16" t="str">
        <f t="shared" ca="1" si="41"/>
        <v>Long</v>
      </c>
    </row>
    <row r="177" spans="1:15">
      <c r="A177" s="14">
        <v>45741</v>
      </c>
      <c r="B177" s="15" t="str" cm="1">
        <f t="array" aca="1" ref="B177" ca="1">INDEX(Lists!$A$1:$A$6, RANDBETWEEN(1,6))</f>
        <v>Welding Machine</v>
      </c>
      <c r="C177" s="15" t="str">
        <f ca="1">_xlfn.XLOOKUP(B177, Lists!$A$1:$A$6, Lists!$B$1:$B$6)</f>
        <v>WM12(WD5-000729)</v>
      </c>
      <c r="D177" s="15" t="str" cm="1">
        <f t="array" aca="1" ref="D177" ca="1">INDEX(Lists!$C$1:$C$3, RANDBETWEEN(1,3))</f>
        <v>Yard</v>
      </c>
      <c r="E177" s="16">
        <f t="shared" ca="1" si="1"/>
        <v>4548</v>
      </c>
      <c r="F177" s="16">
        <f t="shared" ca="1" si="2"/>
        <v>4600</v>
      </c>
      <c r="G177" s="16">
        <f t="shared" ca="1" si="36"/>
        <v>52</v>
      </c>
      <c r="H177" s="16">
        <f t="shared" ca="1" si="4"/>
        <v>8</v>
      </c>
      <c r="I177" s="16">
        <f t="shared" ca="1" si="5"/>
        <v>3.43</v>
      </c>
      <c r="J177" s="16">
        <f t="shared" ca="1" si="37"/>
        <v>27.44</v>
      </c>
      <c r="K177" s="15" t="str" cm="1">
        <f t="array" aca="1" ref="K177" ca="1">INDEX(Lists!$D$1:$D$4, RANDBETWEEN(1,4))</f>
        <v>Ahmed</v>
      </c>
      <c r="L177" s="16" t="str">
        <f t="shared" si="38"/>
        <v>2025-03</v>
      </c>
      <c r="M177" s="16">
        <f t="shared" si="39"/>
        <v>2025</v>
      </c>
      <c r="N177" s="17">
        <f t="shared" ca="1" si="40"/>
        <v>6.5</v>
      </c>
      <c r="O177" s="16" t="str">
        <f t="shared" ca="1" si="41"/>
        <v>Long</v>
      </c>
    </row>
    <row r="178" spans="1:15">
      <c r="A178" s="14">
        <v>45742</v>
      </c>
      <c r="B178" s="15" t="str" cm="1">
        <f t="array" aca="1" ref="B178" ca="1">INDEX(Lists!$A$1:$A$6, RANDBETWEEN(1,6))</f>
        <v>Mini Excavator</v>
      </c>
      <c r="C178" s="15" t="str">
        <f ca="1">_xlfn.XLOOKUP(B178, Lists!$A$1:$A$6, Lists!$B$1:$B$6)</f>
        <v>ME6(10682709)</v>
      </c>
      <c r="D178" s="15" t="str" cm="1">
        <f t="array" aca="1" ref="D178" ca="1">INDEX(Lists!$C$1:$C$3, RANDBETWEEN(1,3))</f>
        <v>Maintenance</v>
      </c>
      <c r="E178" s="16">
        <f t="shared" ca="1" si="1"/>
        <v>769</v>
      </c>
      <c r="F178" s="16">
        <f t="shared" ca="1" si="2"/>
        <v>831</v>
      </c>
      <c r="G178" s="16">
        <f t="shared" ca="1" si="36"/>
        <v>62</v>
      </c>
      <c r="H178" s="16">
        <f t="shared" ca="1" si="4"/>
        <v>7</v>
      </c>
      <c r="I178" s="16">
        <f t="shared" ca="1" si="5"/>
        <v>3.3</v>
      </c>
      <c r="J178" s="16">
        <f t="shared" ca="1" si="37"/>
        <v>23.099999999999998</v>
      </c>
      <c r="K178" s="15" t="str" cm="1">
        <f t="array" aca="1" ref="K178" ca="1">INDEX(Lists!$D$1:$D$4, RANDBETWEEN(1,4))</f>
        <v>Maria</v>
      </c>
      <c r="L178" s="16" t="str">
        <f t="shared" si="38"/>
        <v>2025-03</v>
      </c>
      <c r="M178" s="16">
        <f t="shared" si="39"/>
        <v>2025</v>
      </c>
      <c r="N178" s="17">
        <f t="shared" ca="1" si="40"/>
        <v>8.8571428571428577</v>
      </c>
      <c r="O178" s="16" t="str">
        <f t="shared" ca="1" si="41"/>
        <v>Long</v>
      </c>
    </row>
    <row r="179" spans="1:15">
      <c r="A179" s="14">
        <v>45743</v>
      </c>
      <c r="B179" s="15" t="str" cm="1">
        <f t="array" aca="1" ref="B179" ca="1">INDEX(Lists!$A$1:$A$6, RANDBETWEEN(1,6))</f>
        <v>Front End Loader</v>
      </c>
      <c r="C179" s="15" t="str">
        <f ca="1">_xlfn.XLOOKUP(B179, Lists!$A$1:$A$6, Lists!$B$1:$B$6)</f>
        <v>FE1(10930360)</v>
      </c>
      <c r="D179" s="15" t="str" cm="1">
        <f t="array" aca="1" ref="D179" ca="1">INDEX(Lists!$C$1:$C$3, RANDBETWEEN(1,3))</f>
        <v>Maintenance</v>
      </c>
      <c r="E179" s="16">
        <f t="shared" ca="1" si="1"/>
        <v>3026</v>
      </c>
      <c r="F179" s="16">
        <f t="shared" ca="1" si="2"/>
        <v>3100</v>
      </c>
      <c r="G179" s="16">
        <f t="shared" ca="1" si="36"/>
        <v>74</v>
      </c>
      <c r="H179" s="16">
        <f t="shared" ca="1" si="4"/>
        <v>9</v>
      </c>
      <c r="I179" s="16">
        <f t="shared" ca="1" si="5"/>
        <v>3.58</v>
      </c>
      <c r="J179" s="16">
        <f t="shared" ca="1" si="37"/>
        <v>32.22</v>
      </c>
      <c r="K179" s="15" t="str" cm="1">
        <f t="array" aca="1" ref="K179" ca="1">INDEX(Lists!$D$1:$D$4, RANDBETWEEN(1,4))</f>
        <v>Jose</v>
      </c>
      <c r="L179" s="16" t="str">
        <f t="shared" si="38"/>
        <v>2025-03</v>
      </c>
      <c r="M179" s="16">
        <f t="shared" si="39"/>
        <v>2025</v>
      </c>
      <c r="N179" s="17">
        <f t="shared" ca="1" si="40"/>
        <v>8.2222222222222214</v>
      </c>
      <c r="O179" s="16" t="str">
        <f t="shared" ca="1" si="41"/>
        <v>Long</v>
      </c>
    </row>
    <row r="180" spans="1:15">
      <c r="A180" s="14">
        <v>45744</v>
      </c>
      <c r="B180" s="15" t="str" cm="1">
        <f t="array" aca="1" ref="B180" ca="1">INDEX(Lists!$A$1:$A$6, RANDBETWEEN(1,6))</f>
        <v>Mini Excavator</v>
      </c>
      <c r="C180" s="15" t="str">
        <f ca="1">_xlfn.XLOOKUP(B180, Lists!$A$1:$A$6, Lists!$B$1:$B$6)</f>
        <v>ME6(10682709)</v>
      </c>
      <c r="D180" s="15" t="str" cm="1">
        <f t="array" aca="1" ref="D180" ca="1">INDEX(Lists!$C$1:$C$3, RANDBETWEEN(1,3))</f>
        <v>Maintenance</v>
      </c>
      <c r="E180" s="16">
        <f t="shared" ca="1" si="1"/>
        <v>1342</v>
      </c>
      <c r="F180" s="16">
        <f t="shared" ca="1" si="2"/>
        <v>1401</v>
      </c>
      <c r="G180" s="16">
        <f t="shared" ca="1" si="36"/>
        <v>59</v>
      </c>
      <c r="H180" s="16">
        <f t="shared" ca="1" si="4"/>
        <v>10.5</v>
      </c>
      <c r="I180" s="16">
        <f t="shared" ca="1" si="5"/>
        <v>3.5</v>
      </c>
      <c r="J180" s="16">
        <f t="shared" ca="1" si="37"/>
        <v>36.75</v>
      </c>
      <c r="K180" s="15" t="str" cm="1">
        <f t="array" aca="1" ref="K180" ca="1">INDEX(Lists!$D$1:$D$4, RANDBETWEEN(1,4))</f>
        <v>Maria</v>
      </c>
      <c r="L180" s="16" t="str">
        <f t="shared" si="38"/>
        <v>2025-03</v>
      </c>
      <c r="M180" s="16">
        <f t="shared" si="39"/>
        <v>2025</v>
      </c>
      <c r="N180" s="17">
        <f t="shared" ca="1" si="40"/>
        <v>5.6190476190476186</v>
      </c>
      <c r="O180" s="16" t="str">
        <f t="shared" ca="1" si="41"/>
        <v>Long</v>
      </c>
    </row>
    <row r="181" spans="1:15">
      <c r="A181" s="14">
        <v>45745</v>
      </c>
      <c r="B181" s="15" t="str" cm="1">
        <f t="array" aca="1" ref="B181" ca="1">INDEX(Lists!$A$1:$A$6, RANDBETWEEN(1,6))</f>
        <v>Boom Lift</v>
      </c>
      <c r="C181" s="15" t="str">
        <f ca="1">_xlfn.XLOOKUP(B181, Lists!$A$1:$A$6, Lists!$B$1:$B$6)</f>
        <v>BL8(1047802)</v>
      </c>
      <c r="D181" s="15" t="str" cm="1">
        <f t="array" aca="1" ref="D181" ca="1">INDEX(Lists!$C$1:$C$3, RANDBETWEEN(1,3))</f>
        <v>Maintenance</v>
      </c>
      <c r="E181" s="16">
        <f t="shared" ca="1" si="1"/>
        <v>4395</v>
      </c>
      <c r="F181" s="16">
        <f t="shared" ca="1" si="2"/>
        <v>4404</v>
      </c>
      <c r="G181" s="16">
        <f t="shared" ca="1" si="36"/>
        <v>9</v>
      </c>
      <c r="H181" s="16">
        <f t="shared" ca="1" si="4"/>
        <v>5.5</v>
      </c>
      <c r="I181" s="16">
        <f t="shared" ca="1" si="5"/>
        <v>3.7</v>
      </c>
      <c r="J181" s="16">
        <f t="shared" ca="1" si="37"/>
        <v>20.350000000000001</v>
      </c>
      <c r="K181" s="15" t="str" cm="1">
        <f t="array" aca="1" ref="K181" ca="1">INDEX(Lists!$D$1:$D$4, RANDBETWEEN(1,4))</f>
        <v>Maria</v>
      </c>
      <c r="L181" s="16" t="str">
        <f t="shared" si="38"/>
        <v>2025-03</v>
      </c>
      <c r="M181" s="16">
        <f t="shared" si="39"/>
        <v>2025</v>
      </c>
      <c r="N181" s="17">
        <f t="shared" ca="1" si="40"/>
        <v>1.6363636363636365</v>
      </c>
      <c r="O181" s="16" t="str">
        <f t="shared" ca="1" si="41"/>
        <v>Short</v>
      </c>
    </row>
    <row r="182" spans="1:15">
      <c r="A182" s="14">
        <v>45746</v>
      </c>
      <c r="B182" s="15" t="str" cm="1">
        <f t="array" aca="1" ref="B182" ca="1">INDEX(Lists!$A$1:$A$6, RANDBETWEEN(1,6))</f>
        <v>Mini Excavator</v>
      </c>
      <c r="C182" s="15" t="str">
        <f ca="1">_xlfn.XLOOKUP(B182, Lists!$A$1:$A$6, Lists!$B$1:$B$6)</f>
        <v>ME6(10682709)</v>
      </c>
      <c r="D182" s="15" t="str" cm="1">
        <f t="array" aca="1" ref="D182" ca="1">INDEX(Lists!$C$1:$C$3, RANDBETWEEN(1,3))</f>
        <v>Operations</v>
      </c>
      <c r="E182" s="16">
        <f t="shared" ca="1" si="1"/>
        <v>4886</v>
      </c>
      <c r="F182" s="16">
        <f t="shared" ca="1" si="2"/>
        <v>4948</v>
      </c>
      <c r="G182" s="16">
        <f t="shared" ca="1" si="36"/>
        <v>62</v>
      </c>
      <c r="H182" s="16">
        <f t="shared" ca="1" si="4"/>
        <v>8.5</v>
      </c>
      <c r="I182" s="16">
        <f t="shared" ca="1" si="5"/>
        <v>3.53</v>
      </c>
      <c r="J182" s="16">
        <f t="shared" ca="1" si="37"/>
        <v>30.004999999999999</v>
      </c>
      <c r="K182" s="15" t="str" cm="1">
        <f t="array" aca="1" ref="K182" ca="1">INDEX(Lists!$D$1:$D$4, RANDBETWEEN(1,4))</f>
        <v>Maria</v>
      </c>
      <c r="L182" s="16" t="str">
        <f t="shared" si="38"/>
        <v>2025-03</v>
      </c>
      <c r="M182" s="16">
        <f t="shared" si="39"/>
        <v>2025</v>
      </c>
      <c r="N182" s="17">
        <f t="shared" ca="1" si="40"/>
        <v>7.2941176470588234</v>
      </c>
      <c r="O182" s="16" t="str">
        <f t="shared" ca="1" si="41"/>
        <v>Long</v>
      </c>
    </row>
    <row r="183" spans="1:15">
      <c r="A183" s="14">
        <v>45747</v>
      </c>
      <c r="B183" s="15" t="str" cm="1">
        <f t="array" aca="1" ref="B183" ca="1">INDEX(Lists!$A$1:$A$6, RANDBETWEEN(1,6))</f>
        <v>Welding Machine</v>
      </c>
      <c r="C183" s="15" t="str">
        <f ca="1">_xlfn.XLOOKUP(B183, Lists!$A$1:$A$6, Lists!$B$1:$B$6)</f>
        <v>WM12(WD5-000729)</v>
      </c>
      <c r="D183" s="15" t="str" cm="1">
        <f t="array" aca="1" ref="D183" ca="1">INDEX(Lists!$C$1:$C$3, RANDBETWEEN(1,3))</f>
        <v>Yard</v>
      </c>
      <c r="E183" s="16">
        <f t="shared" ca="1" si="1"/>
        <v>3037</v>
      </c>
      <c r="F183" s="16">
        <f t="shared" ca="1" si="2"/>
        <v>3068</v>
      </c>
      <c r="G183" s="16">
        <f t="shared" ca="1" si="36"/>
        <v>31</v>
      </c>
      <c r="H183" s="16">
        <f t="shared" ca="1" si="4"/>
        <v>3.5</v>
      </c>
      <c r="I183" s="16">
        <f t="shared" ca="1" si="5"/>
        <v>3.56</v>
      </c>
      <c r="J183" s="16">
        <f t="shared" ca="1" si="37"/>
        <v>12.46</v>
      </c>
      <c r="K183" s="15" t="str" cm="1">
        <f t="array" aca="1" ref="K183" ca="1">INDEX(Lists!$D$1:$D$4, RANDBETWEEN(1,4))</f>
        <v>Jose</v>
      </c>
      <c r="L183" s="16" t="str">
        <f t="shared" si="38"/>
        <v>2025-03</v>
      </c>
      <c r="M183" s="16">
        <f t="shared" si="39"/>
        <v>2025</v>
      </c>
      <c r="N183" s="17">
        <f t="shared" ca="1" si="40"/>
        <v>8.8571428571428577</v>
      </c>
      <c r="O183" s="16" t="str">
        <f t="shared" ca="1" si="41"/>
        <v>Medium</v>
      </c>
    </row>
    <row r="184" spans="1:15">
      <c r="A184" s="14">
        <v>45748</v>
      </c>
      <c r="B184" s="15" t="str" cm="1">
        <f t="array" aca="1" ref="B184" ca="1">INDEX(Lists!$A$1:$A$6, RANDBETWEEN(1,6))</f>
        <v>Boom Lift</v>
      </c>
      <c r="C184" s="15" t="str">
        <f ca="1">_xlfn.XLOOKUP(B184, Lists!$A$1:$A$6, Lists!$B$1:$B$6)</f>
        <v>BL8(1047802)</v>
      </c>
      <c r="D184" s="15" t="str" cm="1">
        <f t="array" aca="1" ref="D184" ca="1">INDEX(Lists!$C$1:$C$3, RANDBETWEEN(1,3))</f>
        <v>Operations</v>
      </c>
      <c r="E184" s="16">
        <f t="shared" ca="1" si="1"/>
        <v>3348</v>
      </c>
      <c r="F184" s="16">
        <f t="shared" ca="1" si="2"/>
        <v>3365</v>
      </c>
      <c r="G184" s="16">
        <f t="shared" ca="1" si="36"/>
        <v>17</v>
      </c>
      <c r="H184" s="16">
        <f t="shared" ca="1" si="4"/>
        <v>3.5</v>
      </c>
      <c r="I184" s="16">
        <f t="shared" ca="1" si="5"/>
        <v>3.64</v>
      </c>
      <c r="J184" s="16">
        <f t="shared" ca="1" si="37"/>
        <v>12.74</v>
      </c>
      <c r="K184" s="15" t="str" cm="1">
        <f t="array" aca="1" ref="K184" ca="1">INDEX(Lists!$D$1:$D$4, RANDBETWEEN(1,4))</f>
        <v>Maria</v>
      </c>
      <c r="L184" s="16" t="str">
        <f t="shared" si="38"/>
        <v>2025-04</v>
      </c>
      <c r="M184" s="16">
        <f t="shared" si="39"/>
        <v>2025</v>
      </c>
      <c r="N184" s="17">
        <f t="shared" ca="1" si="40"/>
        <v>4.8571428571428568</v>
      </c>
      <c r="O184" s="16" t="str">
        <f t="shared" ca="1" si="41"/>
        <v>Short</v>
      </c>
    </row>
    <row r="185" spans="1:15">
      <c r="A185" s="14">
        <v>45749</v>
      </c>
      <c r="B185" s="15" t="str" cm="1">
        <f t="array" aca="1" ref="B185" ca="1">INDEX(Lists!$A$1:$A$6, RANDBETWEEN(1,6))</f>
        <v>Mini Excavator</v>
      </c>
      <c r="C185" s="15" t="str">
        <f ca="1">_xlfn.XLOOKUP(B185, Lists!$A$1:$A$6, Lists!$B$1:$B$6)</f>
        <v>ME6(10682709)</v>
      </c>
      <c r="D185" s="15" t="str" cm="1">
        <f t="array" aca="1" ref="D185" ca="1">INDEX(Lists!$C$1:$C$3, RANDBETWEEN(1,3))</f>
        <v>Operations</v>
      </c>
      <c r="E185" s="16">
        <f t="shared" ca="1" si="1"/>
        <v>4816</v>
      </c>
      <c r="F185" s="16">
        <f t="shared" ca="1" si="2"/>
        <v>4889</v>
      </c>
      <c r="G185" s="16">
        <f t="shared" ca="1" si="36"/>
        <v>73</v>
      </c>
      <c r="H185" s="16">
        <f t="shared" ca="1" si="4"/>
        <v>3</v>
      </c>
      <c r="I185" s="16">
        <f t="shared" ca="1" si="5"/>
        <v>3.61</v>
      </c>
      <c r="J185" s="16">
        <f t="shared" ca="1" si="37"/>
        <v>10.83</v>
      </c>
      <c r="K185" s="15" t="str" cm="1">
        <f t="array" aca="1" ref="K185" ca="1">INDEX(Lists!$D$1:$D$4, RANDBETWEEN(1,4))</f>
        <v>Jose</v>
      </c>
      <c r="L185" s="16" t="str">
        <f t="shared" si="38"/>
        <v>2025-04</v>
      </c>
      <c r="M185" s="16">
        <f t="shared" si="39"/>
        <v>2025</v>
      </c>
      <c r="N185" s="17">
        <f t="shared" ca="1" si="40"/>
        <v>24.333333333333332</v>
      </c>
      <c r="O185" s="16" t="str">
        <f t="shared" ca="1" si="41"/>
        <v>Long</v>
      </c>
    </row>
    <row r="186" spans="1:15">
      <c r="A186" s="14">
        <v>45750</v>
      </c>
      <c r="B186" s="15" t="str" cm="1">
        <f t="array" aca="1" ref="B186" ca="1">INDEX(Lists!$A$1:$A$6, RANDBETWEEN(1,6))</f>
        <v>Bobcat</v>
      </c>
      <c r="C186" s="15" t="str">
        <f ca="1">_xlfn.XLOOKUP(B186, Lists!$A$1:$A$6, Lists!$B$1:$B$6)</f>
        <v>BC1(10931016)</v>
      </c>
      <c r="D186" s="15" t="str" cm="1">
        <f t="array" aca="1" ref="D186" ca="1">INDEX(Lists!$C$1:$C$3, RANDBETWEEN(1,3))</f>
        <v>Yard</v>
      </c>
      <c r="E186" s="16">
        <f t="shared" ca="1" si="1"/>
        <v>2419</v>
      </c>
      <c r="F186" s="16">
        <f t="shared" ca="1" si="2"/>
        <v>2455</v>
      </c>
      <c r="G186" s="16">
        <f t="shared" ca="1" si="36"/>
        <v>36</v>
      </c>
      <c r="H186" s="16">
        <f t="shared" ca="1" si="4"/>
        <v>9</v>
      </c>
      <c r="I186" s="16">
        <f t="shared" ca="1" si="5"/>
        <v>3.28</v>
      </c>
      <c r="J186" s="16">
        <f t="shared" ca="1" si="37"/>
        <v>29.52</v>
      </c>
      <c r="K186" s="15" t="str" cm="1">
        <f t="array" aca="1" ref="K186" ca="1">INDEX(Lists!$D$1:$D$4, RANDBETWEEN(1,4))</f>
        <v>Jose</v>
      </c>
      <c r="L186" s="16" t="str">
        <f t="shared" si="38"/>
        <v>2025-04</v>
      </c>
      <c r="M186" s="16">
        <f t="shared" si="39"/>
        <v>2025</v>
      </c>
      <c r="N186" s="17">
        <f t="shared" ca="1" si="40"/>
        <v>4</v>
      </c>
      <c r="O186" s="16" t="str">
        <f t="shared" ca="1" si="41"/>
        <v>Medium</v>
      </c>
    </row>
    <row r="187" spans="1:15">
      <c r="A187" s="14">
        <v>45751</v>
      </c>
      <c r="B187" s="15" t="str" cm="1">
        <f t="array" aca="1" ref="B187" ca="1">INDEX(Lists!$A$1:$A$6, RANDBETWEEN(1,6))</f>
        <v>Forklift</v>
      </c>
      <c r="C187" s="15" t="str">
        <f ca="1">_xlfn.XLOOKUP(B187, Lists!$A$1:$A$6, Lists!$B$1:$B$6)</f>
        <v>F7(217595AH)</v>
      </c>
      <c r="D187" s="15" t="str" cm="1">
        <f t="array" aca="1" ref="D187" ca="1">INDEX(Lists!$C$1:$C$3, RANDBETWEEN(1,3))</f>
        <v>Operations</v>
      </c>
      <c r="E187" s="16">
        <f t="shared" ca="1" si="1"/>
        <v>4263</v>
      </c>
      <c r="F187" s="16">
        <f t="shared" ca="1" si="2"/>
        <v>4275</v>
      </c>
      <c r="G187" s="16">
        <f t="shared" ca="1" si="36"/>
        <v>12</v>
      </c>
      <c r="H187" s="16">
        <f t="shared" ca="1" si="4"/>
        <v>8</v>
      </c>
      <c r="I187" s="16">
        <f t="shared" ca="1" si="5"/>
        <v>3.49</v>
      </c>
      <c r="J187" s="16">
        <f t="shared" ca="1" si="37"/>
        <v>27.92</v>
      </c>
      <c r="K187" s="15" t="str" cm="1">
        <f t="array" aca="1" ref="K187" ca="1">INDEX(Lists!$D$1:$D$4, RANDBETWEEN(1,4))</f>
        <v>Maria</v>
      </c>
      <c r="L187" s="16" t="str">
        <f t="shared" si="38"/>
        <v>2025-04</v>
      </c>
      <c r="M187" s="16">
        <f t="shared" si="39"/>
        <v>2025</v>
      </c>
      <c r="N187" s="17">
        <f t="shared" ca="1" si="40"/>
        <v>1.5</v>
      </c>
      <c r="O187" s="16" t="str">
        <f t="shared" ca="1" si="41"/>
        <v>Short</v>
      </c>
    </row>
    <row r="188" spans="1:15">
      <c r="A188" s="14">
        <v>45752</v>
      </c>
      <c r="B188" s="15" t="str" cm="1">
        <f t="array" aca="1" ref="B188" ca="1">INDEX(Lists!$A$1:$A$6, RANDBETWEEN(1,6))</f>
        <v>Front End Loader</v>
      </c>
      <c r="C188" s="15" t="str">
        <f ca="1">_xlfn.XLOOKUP(B188, Lists!$A$1:$A$6, Lists!$B$1:$B$6)</f>
        <v>FE1(10930360)</v>
      </c>
      <c r="D188" s="15" t="str" cm="1">
        <f t="array" aca="1" ref="D188" ca="1">INDEX(Lists!$C$1:$C$3, RANDBETWEEN(1,3))</f>
        <v>Yard</v>
      </c>
      <c r="E188" s="16">
        <f t="shared" ref="E188" ca="1" si="42">RANDBETWEEN(500,5000)</f>
        <v>2448</v>
      </c>
      <c r="F188" s="16">
        <f t="shared" ref="F188" ca="1" si="43">E188 + RANDBETWEEN(5,80)</f>
        <v>2470</v>
      </c>
      <c r="G188" s="16">
        <f t="shared" ca="1" si="36"/>
        <v>22</v>
      </c>
      <c r="H188" s="16">
        <f t="shared" ref="H188" ca="1" si="44">ROUND(RANDBETWEEN(5,25)*0.5,1)</f>
        <v>2.5</v>
      </c>
      <c r="I188" s="16">
        <f t="shared" ref="I188" ca="1" si="45">ROUND(3.2 + RAND()*0.6, 2)</f>
        <v>3.44</v>
      </c>
      <c r="J188" s="16">
        <f t="shared" ca="1" si="37"/>
        <v>8.6</v>
      </c>
      <c r="K188" s="15" t="str" cm="1">
        <f t="array" aca="1" ref="K188" ca="1">INDEX(Lists!$D$1:$D$4, RANDBETWEEN(1,4))</f>
        <v>Maria</v>
      </c>
      <c r="L188" s="16" t="str">
        <f t="shared" si="38"/>
        <v>2025-04</v>
      </c>
      <c r="M188" s="16">
        <f t="shared" si="39"/>
        <v>2025</v>
      </c>
      <c r="N188" s="17">
        <f t="shared" ca="1" si="40"/>
        <v>8.8000000000000007</v>
      </c>
      <c r="O188" s="16" t="str">
        <f t="shared" ca="1" si="41"/>
        <v>Medium</v>
      </c>
    </row>
    <row r="189" spans="1:15">
      <c r="A189" s="14">
        <v>45753</v>
      </c>
      <c r="B189" s="15" t="str" cm="1">
        <f t="array" aca="1" ref="B189" ca="1">INDEX(Lists!$A$1:$A$6, RANDBETWEEN(1,6))</f>
        <v>Mini Excavator</v>
      </c>
      <c r="C189" s="15" t="str">
        <f ca="1">_xlfn.XLOOKUP(B189, Lists!$A$1:$A$6, Lists!$B$1:$B$6)</f>
        <v>ME6(10682709)</v>
      </c>
      <c r="D189" s="15" t="str" cm="1">
        <f t="array" aca="1" ref="D189" ca="1">INDEX(Lists!$C$1:$C$3, RANDBETWEEN(1,3))</f>
        <v>Yard</v>
      </c>
      <c r="E189" s="16">
        <f t="shared" ca="1" si="1"/>
        <v>4282</v>
      </c>
      <c r="F189" s="16">
        <f t="shared" ca="1" si="2"/>
        <v>4327</v>
      </c>
      <c r="G189" s="16">
        <f t="shared" ca="1" si="36"/>
        <v>45</v>
      </c>
      <c r="H189" s="16">
        <f t="shared" ca="1" si="4"/>
        <v>8</v>
      </c>
      <c r="I189" s="16">
        <f t="shared" ca="1" si="5"/>
        <v>3.79</v>
      </c>
      <c r="J189" s="16">
        <f t="shared" ca="1" si="37"/>
        <v>30.32</v>
      </c>
      <c r="K189" s="15" t="str" cm="1">
        <f t="array" aca="1" ref="K189" ca="1">INDEX(Lists!$D$1:$D$4, RANDBETWEEN(1,4))</f>
        <v>Maria</v>
      </c>
      <c r="L189" s="16" t="str">
        <f t="shared" si="38"/>
        <v>2025-04</v>
      </c>
      <c r="M189" s="16">
        <f t="shared" si="39"/>
        <v>2025</v>
      </c>
      <c r="N189" s="17">
        <f t="shared" ca="1" si="40"/>
        <v>5.625</v>
      </c>
      <c r="O189" s="16" t="str">
        <f t="shared" ca="1" si="41"/>
        <v>Medium</v>
      </c>
    </row>
    <row r="190" spans="1:15">
      <c r="A190" s="14">
        <v>45754</v>
      </c>
      <c r="B190" s="15" t="str" cm="1">
        <f t="array" aca="1" ref="B190" ca="1">INDEX(Lists!$A$1:$A$6, RANDBETWEEN(1,6))</f>
        <v>Front End Loader</v>
      </c>
      <c r="C190" s="15" t="str">
        <f ca="1">_xlfn.XLOOKUP(B190, Lists!$A$1:$A$6, Lists!$B$1:$B$6)</f>
        <v>FE1(10930360)</v>
      </c>
      <c r="D190" s="15" t="str" cm="1">
        <f t="array" aca="1" ref="D190" ca="1">INDEX(Lists!$C$1:$C$3, RANDBETWEEN(1,3))</f>
        <v>Maintenance</v>
      </c>
      <c r="E190" s="16">
        <f t="shared" ca="1" si="1"/>
        <v>1219</v>
      </c>
      <c r="F190" s="16">
        <f t="shared" ca="1" si="2"/>
        <v>1269</v>
      </c>
      <c r="G190" s="16">
        <f t="shared" ca="1" si="36"/>
        <v>50</v>
      </c>
      <c r="H190" s="16">
        <f t="shared" ca="1" si="4"/>
        <v>5.5</v>
      </c>
      <c r="I190" s="16">
        <f t="shared" ca="1" si="5"/>
        <v>3.73</v>
      </c>
      <c r="J190" s="16">
        <f t="shared" ca="1" si="37"/>
        <v>20.515000000000001</v>
      </c>
      <c r="K190" s="15" t="str" cm="1">
        <f t="array" aca="1" ref="K190" ca="1">INDEX(Lists!$D$1:$D$4, RANDBETWEEN(1,4))</f>
        <v>Ravi</v>
      </c>
      <c r="L190" s="16" t="str">
        <f t="shared" si="38"/>
        <v>2025-04</v>
      </c>
      <c r="M190" s="16">
        <f t="shared" si="39"/>
        <v>2025</v>
      </c>
      <c r="N190" s="17">
        <f t="shared" ca="1" si="40"/>
        <v>9.0909090909090917</v>
      </c>
      <c r="O190" s="16" t="str">
        <f t="shared" ca="1" si="41"/>
        <v>Medium</v>
      </c>
    </row>
    <row r="191" spans="1:15">
      <c r="A191" s="14">
        <v>45755</v>
      </c>
      <c r="B191" s="15" t="str" cm="1">
        <f t="array" aca="1" ref="B191" ca="1">INDEX(Lists!$A$1:$A$6, RANDBETWEEN(1,6))</f>
        <v>Bobcat</v>
      </c>
      <c r="C191" s="15" t="str">
        <f ca="1">_xlfn.XLOOKUP(B191, Lists!$A$1:$A$6, Lists!$B$1:$B$6)</f>
        <v>BC1(10931016)</v>
      </c>
      <c r="D191" s="15" t="str" cm="1">
        <f t="array" aca="1" ref="D191" ca="1">INDEX(Lists!$C$1:$C$3, RANDBETWEEN(1,3))</f>
        <v>Yard</v>
      </c>
      <c r="E191" s="16">
        <f t="shared" ca="1" si="1"/>
        <v>1029</v>
      </c>
      <c r="F191" s="16">
        <f t="shared" ca="1" si="2"/>
        <v>1058</v>
      </c>
      <c r="G191" s="16">
        <f t="shared" ca="1" si="36"/>
        <v>29</v>
      </c>
      <c r="H191" s="16">
        <f t="shared" ca="1" si="4"/>
        <v>9.5</v>
      </c>
      <c r="I191" s="16">
        <f t="shared" ca="1" si="5"/>
        <v>3.74</v>
      </c>
      <c r="J191" s="16">
        <f t="shared" ca="1" si="37"/>
        <v>35.53</v>
      </c>
      <c r="K191" s="15" t="str" cm="1">
        <f t="array" aca="1" ref="K191" ca="1">INDEX(Lists!$D$1:$D$4, RANDBETWEEN(1,4))</f>
        <v>Maria</v>
      </c>
      <c r="L191" s="16" t="str">
        <f t="shared" si="38"/>
        <v>2025-04</v>
      </c>
      <c r="M191" s="16">
        <f t="shared" si="39"/>
        <v>2025</v>
      </c>
      <c r="N191" s="17">
        <f t="shared" ca="1" si="40"/>
        <v>3.0526315789473686</v>
      </c>
      <c r="O191" s="16" t="str">
        <f t="shared" ca="1" si="41"/>
        <v>Medium</v>
      </c>
    </row>
    <row r="192" spans="1:15">
      <c r="A192" s="14">
        <v>45756</v>
      </c>
      <c r="B192" s="15" t="str" cm="1">
        <f t="array" aca="1" ref="B192" ca="1">INDEX(Lists!$A$1:$A$6, RANDBETWEEN(1,6))</f>
        <v>Mini Excavator</v>
      </c>
      <c r="C192" s="15" t="str">
        <f ca="1">_xlfn.XLOOKUP(B192, Lists!$A$1:$A$6, Lists!$B$1:$B$6)</f>
        <v>ME6(10682709)</v>
      </c>
      <c r="D192" s="15" t="str" cm="1">
        <f t="array" aca="1" ref="D192" ca="1">INDEX(Lists!$C$1:$C$3, RANDBETWEEN(1,3))</f>
        <v>Operations</v>
      </c>
      <c r="E192" s="16">
        <f t="shared" ca="1" si="1"/>
        <v>4246</v>
      </c>
      <c r="F192" s="16">
        <f t="shared" ca="1" si="2"/>
        <v>4267</v>
      </c>
      <c r="G192" s="16">
        <f t="shared" ca="1" si="36"/>
        <v>21</v>
      </c>
      <c r="H192" s="16">
        <f t="shared" ca="1" si="4"/>
        <v>3.5</v>
      </c>
      <c r="I192" s="16">
        <f t="shared" ca="1" si="5"/>
        <v>3.5</v>
      </c>
      <c r="J192" s="16">
        <f t="shared" ca="1" si="37"/>
        <v>12.25</v>
      </c>
      <c r="K192" s="15" t="str" cm="1">
        <f t="array" aca="1" ref="K192" ca="1">INDEX(Lists!$D$1:$D$4, RANDBETWEEN(1,4))</f>
        <v>Ravi</v>
      </c>
      <c r="L192" s="16" t="str">
        <f t="shared" si="38"/>
        <v>2025-04</v>
      </c>
      <c r="M192" s="16">
        <f t="shared" si="39"/>
        <v>2025</v>
      </c>
      <c r="N192" s="17">
        <f t="shared" ca="1" si="40"/>
        <v>6</v>
      </c>
      <c r="O192" s="16" t="str">
        <f t="shared" ca="1" si="41"/>
        <v>Medium</v>
      </c>
    </row>
    <row r="193" spans="1:15">
      <c r="A193" s="14">
        <v>45757</v>
      </c>
      <c r="B193" s="15" t="str" cm="1">
        <f t="array" aca="1" ref="B193" ca="1">INDEX(Lists!$A$1:$A$6, RANDBETWEEN(1,6))</f>
        <v>Front End Loader</v>
      </c>
      <c r="C193" s="15" t="str">
        <f ca="1">_xlfn.XLOOKUP(B193, Lists!$A$1:$A$6, Lists!$B$1:$B$6)</f>
        <v>FE1(10930360)</v>
      </c>
      <c r="D193" s="15" t="str" cm="1">
        <f t="array" aca="1" ref="D193" ca="1">INDEX(Lists!$C$1:$C$3, RANDBETWEEN(1,3))</f>
        <v>Maintenance</v>
      </c>
      <c r="E193" s="16">
        <f t="shared" ca="1" si="1"/>
        <v>2327</v>
      </c>
      <c r="F193" s="16">
        <f t="shared" ca="1" si="2"/>
        <v>2399</v>
      </c>
      <c r="G193" s="16">
        <f t="shared" ca="1" si="36"/>
        <v>72</v>
      </c>
      <c r="H193" s="16">
        <f t="shared" ca="1" si="4"/>
        <v>12.5</v>
      </c>
      <c r="I193" s="16">
        <f t="shared" ca="1" si="5"/>
        <v>3.45</v>
      </c>
      <c r="J193" s="16">
        <f t="shared" ca="1" si="37"/>
        <v>43.125</v>
      </c>
      <c r="K193" s="15" t="str" cm="1">
        <f t="array" aca="1" ref="K193" ca="1">INDEX(Lists!$D$1:$D$4, RANDBETWEEN(1,4))</f>
        <v>Ravi</v>
      </c>
      <c r="L193" s="16" t="str">
        <f t="shared" si="38"/>
        <v>2025-04</v>
      </c>
      <c r="M193" s="16">
        <f t="shared" si="39"/>
        <v>2025</v>
      </c>
      <c r="N193" s="17">
        <f t="shared" ca="1" si="40"/>
        <v>5.76</v>
      </c>
      <c r="O193" s="16" t="str">
        <f t="shared" ca="1" si="41"/>
        <v>Long</v>
      </c>
    </row>
    <row r="194" spans="1:15">
      <c r="A194" s="14">
        <v>45758</v>
      </c>
      <c r="B194" s="15" t="str" cm="1">
        <f t="array" aca="1" ref="B194" ca="1">INDEX(Lists!$A$1:$A$6, RANDBETWEEN(1,6))</f>
        <v>Forklift</v>
      </c>
      <c r="C194" s="15" t="str">
        <f ca="1">_xlfn.XLOOKUP(B194, Lists!$A$1:$A$6, Lists!$B$1:$B$6)</f>
        <v>F7(217595AH)</v>
      </c>
      <c r="D194" s="15" t="str" cm="1">
        <f t="array" aca="1" ref="D194" ca="1">INDEX(Lists!$C$1:$C$3, RANDBETWEEN(1,3))</f>
        <v>Yard</v>
      </c>
      <c r="E194" s="16">
        <f t="shared" ca="1" si="1"/>
        <v>1279</v>
      </c>
      <c r="F194" s="16">
        <f t="shared" ca="1" si="2"/>
        <v>1347</v>
      </c>
      <c r="G194" s="16">
        <f t="shared" ca="1" si="36"/>
        <v>68</v>
      </c>
      <c r="H194" s="16">
        <f t="shared" ca="1" si="4"/>
        <v>3.5</v>
      </c>
      <c r="I194" s="16">
        <f t="shared" ca="1" si="5"/>
        <v>3.23</v>
      </c>
      <c r="J194" s="16">
        <f t="shared" ca="1" si="37"/>
        <v>11.305</v>
      </c>
      <c r="K194" s="15" t="str" cm="1">
        <f t="array" aca="1" ref="K194" ca="1">INDEX(Lists!$D$1:$D$4, RANDBETWEEN(1,4))</f>
        <v>Jose</v>
      </c>
      <c r="L194" s="16" t="str">
        <f t="shared" si="38"/>
        <v>2025-04</v>
      </c>
      <c r="M194" s="16">
        <f t="shared" si="39"/>
        <v>2025</v>
      </c>
      <c r="N194" s="17">
        <f t="shared" ca="1" si="40"/>
        <v>19.428571428571427</v>
      </c>
      <c r="O194" s="16" t="str">
        <f t="shared" ref="O194:O201" ca="1" si="46">IF(G194&lt;20,"Short", IF(G194&lt;=50,"Medium","Long"))</f>
        <v>Long</v>
      </c>
    </row>
    <row r="195" spans="1:15">
      <c r="A195" s="14">
        <v>45759</v>
      </c>
      <c r="B195" s="15" t="str" cm="1">
        <f t="array" aca="1" ref="B195" ca="1">INDEX(Lists!$A$1:$A$6, RANDBETWEEN(1,6))</f>
        <v>Bobcat</v>
      </c>
      <c r="C195" s="15" t="str">
        <f ca="1">_xlfn.XLOOKUP(B195, Lists!$A$1:$A$6, Lists!$B$1:$B$6)</f>
        <v>BC1(10931016)</v>
      </c>
      <c r="D195" s="15" t="str" cm="1">
        <f t="array" aca="1" ref="D195" ca="1">INDEX(Lists!$C$1:$C$3, RANDBETWEEN(1,3))</f>
        <v>Yard</v>
      </c>
      <c r="E195" s="16">
        <f t="shared" ca="1" si="1"/>
        <v>1151</v>
      </c>
      <c r="F195" s="16">
        <f t="shared" ca="1" si="2"/>
        <v>1200</v>
      </c>
      <c r="G195" s="16">
        <f t="shared" ca="1" si="36"/>
        <v>49</v>
      </c>
      <c r="H195" s="16">
        <f t="shared" ca="1" si="4"/>
        <v>5</v>
      </c>
      <c r="I195" s="16">
        <f t="shared" ca="1" si="5"/>
        <v>3.59</v>
      </c>
      <c r="J195" s="16">
        <f t="shared" ca="1" si="37"/>
        <v>17.95</v>
      </c>
      <c r="K195" s="15" t="str" cm="1">
        <f t="array" aca="1" ref="K195" ca="1">INDEX(Lists!$D$1:$D$4, RANDBETWEEN(1,4))</f>
        <v>Ahmed</v>
      </c>
      <c r="L195" s="16" t="str">
        <f t="shared" si="38"/>
        <v>2025-04</v>
      </c>
      <c r="M195" s="16">
        <f t="shared" si="39"/>
        <v>2025</v>
      </c>
      <c r="N195" s="17">
        <f t="shared" ca="1" si="40"/>
        <v>9.8000000000000007</v>
      </c>
      <c r="O195" s="16" t="str">
        <f t="shared" ca="1" si="46"/>
        <v>Medium</v>
      </c>
    </row>
    <row r="196" spans="1:15">
      <c r="A196" s="14">
        <v>45760</v>
      </c>
      <c r="B196" s="15" t="str" cm="1">
        <f t="array" aca="1" ref="B196" ca="1">INDEX(Lists!$A$1:$A$6, RANDBETWEEN(1,6))</f>
        <v>Welding Machine</v>
      </c>
      <c r="C196" s="15" t="str">
        <f ca="1">_xlfn.XLOOKUP(B196, Lists!$A$1:$A$6, Lists!$B$1:$B$6)</f>
        <v>WM12(WD5-000729)</v>
      </c>
      <c r="D196" s="15" t="str" cm="1">
        <f t="array" aca="1" ref="D196" ca="1">INDEX(Lists!$C$1:$C$3, RANDBETWEEN(1,3))</f>
        <v>Maintenance</v>
      </c>
      <c r="E196" s="16">
        <f t="shared" ca="1" si="1"/>
        <v>4357</v>
      </c>
      <c r="F196" s="16">
        <f t="shared" ca="1" si="2"/>
        <v>4380</v>
      </c>
      <c r="G196" s="16">
        <f t="shared" ca="1" si="36"/>
        <v>23</v>
      </c>
      <c r="H196" s="16">
        <f t="shared" ca="1" si="4"/>
        <v>2.5</v>
      </c>
      <c r="I196" s="16">
        <f t="shared" ca="1" si="5"/>
        <v>3.63</v>
      </c>
      <c r="J196" s="16">
        <f t="shared" ca="1" si="37"/>
        <v>9.0749999999999993</v>
      </c>
      <c r="K196" s="15" t="str" cm="1">
        <f t="array" aca="1" ref="K196" ca="1">INDEX(Lists!$D$1:$D$4, RANDBETWEEN(1,4))</f>
        <v>Maria</v>
      </c>
      <c r="L196" s="16" t="str">
        <f t="shared" si="38"/>
        <v>2025-04</v>
      </c>
      <c r="M196" s="16">
        <f t="shared" si="39"/>
        <v>2025</v>
      </c>
      <c r="N196" s="17">
        <f t="shared" ca="1" si="40"/>
        <v>9.1999999999999993</v>
      </c>
      <c r="O196" s="16" t="str">
        <f t="shared" ca="1" si="46"/>
        <v>Medium</v>
      </c>
    </row>
    <row r="197" spans="1:15">
      <c r="A197" s="14">
        <v>45761</v>
      </c>
      <c r="B197" s="15" t="str" cm="1">
        <f t="array" aca="1" ref="B197" ca="1">INDEX(Lists!$A$1:$A$6, RANDBETWEEN(1,6))</f>
        <v>Welding Machine</v>
      </c>
      <c r="C197" s="15" t="str">
        <f ca="1">_xlfn.XLOOKUP(B197, Lists!$A$1:$A$6, Lists!$B$1:$B$6)</f>
        <v>WM12(WD5-000729)</v>
      </c>
      <c r="D197" s="15" t="str" cm="1">
        <f t="array" aca="1" ref="D197" ca="1">INDEX(Lists!$C$1:$C$3, RANDBETWEEN(1,3))</f>
        <v>Maintenance</v>
      </c>
      <c r="E197" s="16">
        <f t="shared" ca="1" si="1"/>
        <v>2883</v>
      </c>
      <c r="F197" s="16">
        <f t="shared" ca="1" si="2"/>
        <v>2957</v>
      </c>
      <c r="G197" s="16">
        <f t="shared" ca="1" si="36"/>
        <v>74</v>
      </c>
      <c r="H197" s="16">
        <f t="shared" ca="1" si="4"/>
        <v>9</v>
      </c>
      <c r="I197" s="16">
        <f t="shared" ca="1" si="5"/>
        <v>3.4</v>
      </c>
      <c r="J197" s="16">
        <f t="shared" ca="1" si="37"/>
        <v>30.599999999999998</v>
      </c>
      <c r="K197" s="15" t="str" cm="1">
        <f t="array" aca="1" ref="K197" ca="1">INDEX(Lists!$D$1:$D$4, RANDBETWEEN(1,4))</f>
        <v>Maria</v>
      </c>
      <c r="L197" s="16" t="str">
        <f t="shared" si="38"/>
        <v>2025-04</v>
      </c>
      <c r="M197" s="16">
        <f t="shared" si="39"/>
        <v>2025</v>
      </c>
      <c r="N197" s="17">
        <f t="shared" ca="1" si="40"/>
        <v>8.2222222222222214</v>
      </c>
      <c r="O197" s="16" t="str">
        <f t="shared" ca="1" si="46"/>
        <v>Long</v>
      </c>
    </row>
    <row r="198" spans="1:15">
      <c r="A198" s="14">
        <v>45762</v>
      </c>
      <c r="B198" s="15" t="str" cm="1">
        <f t="array" aca="1" ref="B198" ca="1">INDEX(Lists!$A$1:$A$6, RANDBETWEEN(1,6))</f>
        <v>Front End Loader</v>
      </c>
      <c r="C198" s="15" t="str">
        <f ca="1">_xlfn.XLOOKUP(B198, Lists!$A$1:$A$6, Lists!$B$1:$B$6)</f>
        <v>FE1(10930360)</v>
      </c>
      <c r="D198" s="15" t="str" cm="1">
        <f t="array" aca="1" ref="D198" ca="1">INDEX(Lists!$C$1:$C$3, RANDBETWEEN(1,3))</f>
        <v>Operations</v>
      </c>
      <c r="E198" s="16">
        <f t="shared" ca="1" si="1"/>
        <v>3530</v>
      </c>
      <c r="F198" s="16">
        <f t="shared" ca="1" si="2"/>
        <v>3540</v>
      </c>
      <c r="G198" s="16">
        <f t="shared" ca="1" si="36"/>
        <v>10</v>
      </c>
      <c r="H198" s="16">
        <f t="shared" ca="1" si="4"/>
        <v>3.5</v>
      </c>
      <c r="I198" s="16">
        <f t="shared" ca="1" si="5"/>
        <v>3.27</v>
      </c>
      <c r="J198" s="16">
        <f t="shared" ca="1" si="37"/>
        <v>11.445</v>
      </c>
      <c r="K198" s="15" t="str" cm="1">
        <f t="array" aca="1" ref="K198" ca="1">INDEX(Lists!$D$1:$D$4, RANDBETWEEN(1,4))</f>
        <v>Ravi</v>
      </c>
      <c r="L198" s="16" t="str">
        <f t="shared" si="38"/>
        <v>2025-04</v>
      </c>
      <c r="M198" s="16">
        <f t="shared" si="39"/>
        <v>2025</v>
      </c>
      <c r="N198" s="17">
        <f t="shared" ca="1" si="40"/>
        <v>2.8571428571428572</v>
      </c>
      <c r="O198" s="16" t="str">
        <f t="shared" ca="1" si="46"/>
        <v>Short</v>
      </c>
    </row>
    <row r="199" spans="1:15">
      <c r="A199" s="14">
        <v>45763</v>
      </c>
      <c r="B199" s="15" t="str" cm="1">
        <f t="array" aca="1" ref="B199" ca="1">INDEX(Lists!$A$1:$A$6, RANDBETWEEN(1,6))</f>
        <v>Front End Loader</v>
      </c>
      <c r="C199" s="15" t="str">
        <f ca="1">_xlfn.XLOOKUP(B199, Lists!$A$1:$A$6, Lists!$B$1:$B$6)</f>
        <v>FE1(10930360)</v>
      </c>
      <c r="D199" s="15" t="str" cm="1">
        <f t="array" aca="1" ref="D199" ca="1">INDEX(Lists!$C$1:$C$3, RANDBETWEEN(1,3))</f>
        <v>Yard</v>
      </c>
      <c r="E199" s="16">
        <f t="shared" ca="1" si="1"/>
        <v>4874</v>
      </c>
      <c r="F199" s="16">
        <f t="shared" ca="1" si="2"/>
        <v>4888</v>
      </c>
      <c r="G199" s="16">
        <f t="shared" ca="1" si="36"/>
        <v>14</v>
      </c>
      <c r="H199" s="16">
        <f t="shared" ca="1" si="4"/>
        <v>9</v>
      </c>
      <c r="I199" s="16">
        <f t="shared" ca="1" si="5"/>
        <v>3.62</v>
      </c>
      <c r="J199" s="16">
        <f t="shared" ca="1" si="37"/>
        <v>32.58</v>
      </c>
      <c r="K199" s="15" t="str" cm="1">
        <f t="array" aca="1" ref="K199" ca="1">INDEX(Lists!$D$1:$D$4, RANDBETWEEN(1,4))</f>
        <v>Jose</v>
      </c>
      <c r="L199" s="16" t="str">
        <f t="shared" si="38"/>
        <v>2025-04</v>
      </c>
      <c r="M199" s="16">
        <f t="shared" si="39"/>
        <v>2025</v>
      </c>
      <c r="N199" s="17">
        <f t="shared" ca="1" si="40"/>
        <v>1.5555555555555556</v>
      </c>
      <c r="O199" s="16" t="str">
        <f t="shared" ca="1" si="46"/>
        <v>Short</v>
      </c>
    </row>
    <row r="200" spans="1:15">
      <c r="A200" s="14">
        <v>45764</v>
      </c>
      <c r="B200" s="15" t="str" cm="1">
        <f t="array" aca="1" ref="B200" ca="1">INDEX(Lists!$A$1:$A$6, RANDBETWEEN(1,6))</f>
        <v>Mini Excavator</v>
      </c>
      <c r="C200" s="15" t="str">
        <f ca="1">_xlfn.XLOOKUP(B200, Lists!$A$1:$A$6, Lists!$B$1:$B$6)</f>
        <v>ME6(10682709)</v>
      </c>
      <c r="D200" s="15" t="str" cm="1">
        <f t="array" aca="1" ref="D200" ca="1">INDEX(Lists!$C$1:$C$3, RANDBETWEEN(1,3))</f>
        <v>Yard</v>
      </c>
      <c r="E200" s="16">
        <f t="shared" ca="1" si="1"/>
        <v>674</v>
      </c>
      <c r="F200" s="16">
        <f t="shared" ca="1" si="2"/>
        <v>721</v>
      </c>
      <c r="G200" s="16">
        <f t="shared" ca="1" si="36"/>
        <v>47</v>
      </c>
      <c r="H200" s="16">
        <f t="shared" ca="1" si="4"/>
        <v>10.5</v>
      </c>
      <c r="I200" s="16">
        <f t="shared" ca="1" si="5"/>
        <v>3.77</v>
      </c>
      <c r="J200" s="16">
        <f t="shared" ca="1" si="37"/>
        <v>39.585000000000001</v>
      </c>
      <c r="K200" s="15" t="str" cm="1">
        <f t="array" aca="1" ref="K200" ca="1">INDEX(Lists!$D$1:$D$4, RANDBETWEEN(1,4))</f>
        <v>Ahmed</v>
      </c>
      <c r="L200" s="16" t="str">
        <f t="shared" si="38"/>
        <v>2025-04</v>
      </c>
      <c r="M200" s="16">
        <f t="shared" si="39"/>
        <v>2025</v>
      </c>
      <c r="N200" s="17">
        <f t="shared" ca="1" si="40"/>
        <v>4.4761904761904763</v>
      </c>
      <c r="O200" s="16" t="str">
        <f t="shared" ca="1" si="46"/>
        <v>Medium</v>
      </c>
    </row>
    <row r="201" spans="1:15">
      <c r="A201" s="18">
        <v>45765</v>
      </c>
      <c r="B201" s="19" t="str" cm="1">
        <f t="array" aca="1" ref="B201" ca="1">INDEX(Lists!$A$1:$A$6, RANDBETWEEN(1,6))</f>
        <v>Forklift</v>
      </c>
      <c r="C201" s="19" t="str">
        <f ca="1">_xlfn.XLOOKUP(B201, Lists!$A$1:$A$6, Lists!$B$1:$B$6)</f>
        <v>F7(217595AH)</v>
      </c>
      <c r="D201" s="19" t="str" cm="1">
        <f t="array" aca="1" ref="D201" ca="1">INDEX(Lists!$C$1:$C$3, RANDBETWEEN(1,3))</f>
        <v>Yard</v>
      </c>
      <c r="E201" s="20">
        <f t="shared" ca="1" si="1"/>
        <v>2177</v>
      </c>
      <c r="F201" s="20">
        <f t="shared" ca="1" si="2"/>
        <v>2237</v>
      </c>
      <c r="G201" s="20">
        <f t="shared" ca="1" si="36"/>
        <v>60</v>
      </c>
      <c r="H201" s="20">
        <f t="shared" ca="1" si="4"/>
        <v>3</v>
      </c>
      <c r="I201" s="20">
        <f t="shared" ca="1" si="5"/>
        <v>3.25</v>
      </c>
      <c r="J201" s="20">
        <f t="shared" ca="1" si="37"/>
        <v>9.75</v>
      </c>
      <c r="K201" s="19" t="str" cm="1">
        <f t="array" aca="1" ref="K201" ca="1">INDEX(Lists!$D$1:$D$4, RANDBETWEEN(1,4))</f>
        <v>Maria</v>
      </c>
      <c r="L201" s="20" t="str">
        <f t="shared" si="38"/>
        <v>2025-04</v>
      </c>
      <c r="M201" s="20">
        <f t="shared" si="39"/>
        <v>2025</v>
      </c>
      <c r="N201" s="21">
        <f t="shared" ca="1" si="40"/>
        <v>20</v>
      </c>
      <c r="O201" s="20" t="str">
        <f t="shared" ca="1" si="46"/>
        <v>Long</v>
      </c>
    </row>
  </sheetData>
  <conditionalFormatting sqref="N2:N201">
    <cfRule type="cellIs" dxfId="0" priority="1" operator="lessThan">
      <formula>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342B-45D0-41C9-8F6B-7A1B72118512}">
  <dimension ref="A1:B5"/>
  <sheetViews>
    <sheetView workbookViewId="0">
      <selection activeCell="B1" sqref="B1"/>
    </sheetView>
  </sheetViews>
  <sheetFormatPr defaultRowHeight="15"/>
  <cols>
    <col min="1" max="1" width="27.28515625" customWidth="1"/>
    <col min="2" max="2" width="17.85546875" style="4" customWidth="1"/>
  </cols>
  <sheetData>
    <row r="1" spans="1:2" ht="21">
      <c r="A1" s="24" t="s">
        <v>46</v>
      </c>
      <c r="B1" s="2" t="s">
        <v>1</v>
      </c>
    </row>
    <row r="2" spans="1:2" ht="21">
      <c r="A2" s="23"/>
    </row>
    <row r="3" spans="1:2" ht="21">
      <c r="A3" s="23" t="s">
        <v>33</v>
      </c>
      <c r="B3" s="2">
        <f ca="1">SUMIFS(MileageTable[Distance], MileageTable[Equipment_Name], $B$1)</f>
        <v>1374</v>
      </c>
    </row>
    <row r="4" spans="1:2" ht="21">
      <c r="A4" s="23" t="s">
        <v>42</v>
      </c>
      <c r="B4" s="2">
        <f ca="1">SUMIFS(MileageTable[Fuel_Liters], MileageTable[Equipment_Name], $B$1)</f>
        <v>233.5</v>
      </c>
    </row>
    <row r="5" spans="1:2" ht="21">
      <c r="A5" s="23" t="s">
        <v>43</v>
      </c>
      <c r="B5" s="2">
        <f ca="1">AVERAGEIFS(MileageTable[Km_per_Liter], MileageTable[Equipment_Name], $B$1)</f>
        <v>8.1502068448237548</v>
      </c>
    </row>
  </sheetData>
  <pageMargins left="0.7" right="0.7" top="0.75" bottom="0.75" header="0.3" footer="0.3"/>
  <ignoredErrors>
    <ignoredError sqref="B5" evalError="1"/>
  </ignoredErrors>
  <extLst>
    <ext xmlns:x14="http://schemas.microsoft.com/office/spreadsheetml/2009/9/main" uri="{CCE6A557-97BC-4b89-ADB6-D9C93CAAB3DF}">
      <x14:dataValidations xmlns:xm="http://schemas.microsoft.com/office/excel/2006/main" count="1">
        <x14:dataValidation type="list" allowBlank="1" showInputMessage="1" showErrorMessage="1" xr:uid="{5D2E8081-6602-4BC9-9EDA-06E7FEE0059C}">
          <x14:formula1>
            <xm:f>Equipment_Summary!$A$2:$A$7</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89DA-946D-406C-BDEE-6E60C32BA4D0}">
  <dimension ref="A1:C8"/>
  <sheetViews>
    <sheetView workbookViewId="0">
      <selection activeCell="C15" sqref="C15"/>
    </sheetView>
  </sheetViews>
  <sheetFormatPr defaultRowHeight="15"/>
  <cols>
    <col min="2" max="2" width="18" style="4" customWidth="1"/>
    <col min="3" max="3" width="19" style="4" customWidth="1"/>
  </cols>
  <sheetData>
    <row r="1" spans="1:3" ht="18.75">
      <c r="A1" s="7" t="s">
        <v>30</v>
      </c>
      <c r="B1" s="8" t="s">
        <v>33</v>
      </c>
      <c r="C1" s="8" t="s">
        <v>34</v>
      </c>
    </row>
    <row r="2" spans="1:3">
      <c r="A2" s="1" t="s">
        <v>35</v>
      </c>
      <c r="B2" s="4">
        <f ca="1">SUMIFS(MileageTable[Distance], MileageTable[Month], $A2)</f>
        <v>1290</v>
      </c>
      <c r="C2" s="4">
        <f ca="1">SUMIFS(MileageTable[Fuel_Cost_Total], MileageTable[Month], $A2)</f>
        <v>863.93999999999983</v>
      </c>
    </row>
    <row r="3" spans="1:3">
      <c r="A3" s="1" t="s">
        <v>36</v>
      </c>
      <c r="B3" s="4">
        <f ca="1">SUMIFS(MileageTable[Distance], MileageTable[Month], $A3)</f>
        <v>1175</v>
      </c>
      <c r="C3" s="4">
        <f ca="1">SUMIFS(MileageTable[Fuel_Cost_Total], MileageTable[Month], $A3)</f>
        <v>820.255</v>
      </c>
    </row>
    <row r="4" spans="1:3">
      <c r="A4" t="s">
        <v>37</v>
      </c>
      <c r="B4" s="4">
        <f ca="1">SUMIFS(MileageTable[Distance], MileageTable[Month], $A4)</f>
        <v>1318</v>
      </c>
      <c r="C4" s="4">
        <f ca="1">SUMIFS(MileageTable[Fuel_Cost_Total], MileageTable[Month], $A4)</f>
        <v>771.73500000000013</v>
      </c>
    </row>
    <row r="5" spans="1:3">
      <c r="A5" t="s">
        <v>38</v>
      </c>
      <c r="B5" s="4">
        <f ca="1">SUMIFS(MileageTable[Distance], MileageTable[Month], $A5)</f>
        <v>1372</v>
      </c>
      <c r="C5" s="4">
        <f ca="1">SUMIFS(MileageTable[Fuel_Cost_Total], MileageTable[Month], $A5)</f>
        <v>779.52999999999986</v>
      </c>
    </row>
    <row r="6" spans="1:3">
      <c r="A6" t="s">
        <v>39</v>
      </c>
      <c r="B6" s="4">
        <f ca="1">SUMIFS(MileageTable[Distance], MileageTable[Month], $A6)</f>
        <v>1330</v>
      </c>
      <c r="C6" s="4">
        <f ca="1">SUMIFS(MileageTable[Fuel_Cost_Total], MileageTable[Month], $A6)</f>
        <v>746.38</v>
      </c>
    </row>
    <row r="7" spans="1:3">
      <c r="A7" t="s">
        <v>40</v>
      </c>
      <c r="B7" s="4">
        <f ca="1">SUMIFS(MileageTable[Distance], MileageTable[Month], $A7)</f>
        <v>1492</v>
      </c>
      <c r="C7" s="4">
        <f ca="1">SUMIFS(MileageTable[Fuel_Cost_Total], MileageTable[Month], $A7)</f>
        <v>843.59500000000014</v>
      </c>
    </row>
    <row r="8" spans="1:3">
      <c r="A8" t="s">
        <v>41</v>
      </c>
      <c r="B8" s="4">
        <f ca="1">SUMIFS(MileageTable[Distance], MileageTable[Month], $A8)</f>
        <v>722</v>
      </c>
      <c r="C8" s="4">
        <f ca="1">SUMIFS(MileageTable[Fuel_Cost_Total], MileageTable[Month], $A8)</f>
        <v>393.64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3E353-475A-477A-B5C0-8320664C8290}">
  <dimension ref="A1:E7"/>
  <sheetViews>
    <sheetView workbookViewId="0">
      <selection activeCell="B25" sqref="B25"/>
    </sheetView>
  </sheetViews>
  <sheetFormatPr defaultRowHeight="15"/>
  <cols>
    <col min="1" max="1" width="22.7109375" customWidth="1"/>
    <col min="2" max="2" width="20.85546875" customWidth="1"/>
    <col min="3" max="3" width="16.85546875" customWidth="1"/>
    <col min="4" max="4" width="27.42578125" style="3" customWidth="1"/>
    <col min="5" max="5" width="18.85546875" customWidth="1"/>
  </cols>
  <sheetData>
    <row r="1" spans="1:5" ht="18.75">
      <c r="A1" s="8" t="s">
        <v>6</v>
      </c>
      <c r="B1" s="8" t="s">
        <v>33</v>
      </c>
      <c r="C1" s="8" t="s">
        <v>42</v>
      </c>
      <c r="D1" s="9" t="s">
        <v>43</v>
      </c>
      <c r="E1" s="8" t="s">
        <v>44</v>
      </c>
    </row>
    <row r="2" spans="1:5">
      <c r="A2" s="4" t="s">
        <v>0</v>
      </c>
      <c r="B2" s="4">
        <f ca="1">SUMIFS(MileageTable[Distance], MileageTable[Equipment_Name], $A2)</f>
        <v>1379</v>
      </c>
      <c r="C2" s="4">
        <f ca="1">SUMIFS(MileageTable[Fuel_Liters], MileageTable[Equipment_Name], $A2)</f>
        <v>235</v>
      </c>
      <c r="D2" s="5">
        <f ca="1">AVERAGEIFS(MileageTable[Km_per_Liter], MileageTable[Equipment_Name], $A2)</f>
        <v>7.9425772822911149</v>
      </c>
      <c r="E2" s="4">
        <f ca="1">COUNTIFS(MileageTable[Equipment_Name], $A2)</f>
        <v>32</v>
      </c>
    </row>
    <row r="3" spans="1:5">
      <c r="A3" s="4" t="s">
        <v>1</v>
      </c>
      <c r="B3" s="4">
        <f ca="1">SUMIFS(MileageTable[Distance], MileageTable[Equipment_Name], $A3)</f>
        <v>1374</v>
      </c>
      <c r="C3" s="4">
        <f ca="1">SUMIFS(MileageTable[Fuel_Liters], MileageTable[Equipment_Name], $A3)</f>
        <v>233.5</v>
      </c>
      <c r="D3" s="5">
        <f ca="1">AVERAGEIFS(MileageTable[Km_per_Liter], MileageTable[Equipment_Name], $A3)</f>
        <v>8.1502068448237548</v>
      </c>
      <c r="E3" s="4">
        <f ca="1">COUNTIFS(MileageTable[Equipment_Name], $A3)</f>
        <v>31</v>
      </c>
    </row>
    <row r="4" spans="1:5">
      <c r="A4" s="4" t="s">
        <v>2</v>
      </c>
      <c r="B4" s="4">
        <f ca="1">SUMIFS(MileageTable[Distance], MileageTable[Equipment_Name], $A4)</f>
        <v>1222</v>
      </c>
      <c r="C4" s="4">
        <f ca="1">SUMIFS(MileageTable[Fuel_Liters], MileageTable[Equipment_Name], $A4)</f>
        <v>208.5</v>
      </c>
      <c r="D4" s="5">
        <f ca="1">AVERAGEIFS(MileageTable[Km_per_Liter], MileageTable[Equipment_Name], $A4)</f>
        <v>6.5392497681789878</v>
      </c>
      <c r="E4" s="4">
        <f ca="1">COUNTIFS(MileageTable[Equipment_Name], $A4)</f>
        <v>29</v>
      </c>
    </row>
    <row r="5" spans="1:5">
      <c r="A5" s="4" t="s">
        <v>3</v>
      </c>
      <c r="B5" s="4">
        <f ca="1">SUMIFS(MileageTable[Distance], MileageTable[Equipment_Name], $A5)</f>
        <v>1500</v>
      </c>
      <c r="C5" s="4">
        <f ca="1">SUMIFS(MileageTable[Fuel_Liters], MileageTable[Equipment_Name], $A5)</f>
        <v>272</v>
      </c>
      <c r="D5" s="5">
        <f ca="1">AVERAGEIFS(MileageTable[Km_per_Liter], MileageTable[Equipment_Name], $A5)</f>
        <v>6.7549983766746324</v>
      </c>
      <c r="E5" s="4">
        <f ca="1">COUNTIFS(MileageTable[Equipment_Name], $A5)</f>
        <v>36</v>
      </c>
    </row>
    <row r="6" spans="1:5">
      <c r="A6" s="4" t="s">
        <v>4</v>
      </c>
      <c r="B6" s="4">
        <f ca="1">SUMIFS(MileageTable[Distance], MileageTable[Equipment_Name], $A6)</f>
        <v>1768</v>
      </c>
      <c r="C6" s="4">
        <f ca="1">SUMIFS(MileageTable[Fuel_Liters], MileageTable[Equipment_Name], $A6)</f>
        <v>291.5</v>
      </c>
      <c r="D6" s="5">
        <f ca="1">AVERAGEIFS(MileageTable[Km_per_Liter], MileageTable[Equipment_Name], $A6)</f>
        <v>7.0052127265017008</v>
      </c>
      <c r="E6" s="4">
        <f ca="1">COUNTIFS(MileageTable[Equipment_Name], $A6)</f>
        <v>38</v>
      </c>
    </row>
    <row r="7" spans="1:5">
      <c r="A7" s="4" t="s">
        <v>5</v>
      </c>
      <c r="B7" s="4">
        <f ca="1">SUMIFS(MileageTable[Distance], MileageTable[Equipment_Name], $A7)</f>
        <v>1456</v>
      </c>
      <c r="C7" s="4">
        <f ca="1">SUMIFS(MileageTable[Fuel_Liters], MileageTable[Equipment_Name], $A7)</f>
        <v>241.5</v>
      </c>
      <c r="D7" s="5">
        <f ca="1">AVERAGEIFS(MileageTable[Km_per_Liter], MileageTable[Equipment_Name], $A7)</f>
        <v>6.9037841620995462</v>
      </c>
      <c r="E7" s="4">
        <f ca="1">COUNTIFS(MileageTable[Equipment_Name], $A7)</f>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A453-CFAB-4689-8402-123AD587067B}">
  <dimension ref="B3:C10"/>
  <sheetViews>
    <sheetView workbookViewId="0">
      <selection activeCell="C28" sqref="C28"/>
    </sheetView>
  </sheetViews>
  <sheetFormatPr defaultRowHeight="15"/>
  <cols>
    <col min="2" max="2" width="16.28515625" bestFit="1" customWidth="1"/>
    <col min="3" max="3" width="15.85546875" bestFit="1" customWidth="1"/>
  </cols>
  <sheetData>
    <row r="3" spans="2:3">
      <c r="B3" s="25" t="s">
        <v>47</v>
      </c>
      <c r="C3" t="s">
        <v>49</v>
      </c>
    </row>
    <row r="4" spans="2:3">
      <c r="B4" s="6" t="s">
        <v>1</v>
      </c>
      <c r="C4">
        <v>1442</v>
      </c>
    </row>
    <row r="5" spans="2:3">
      <c r="B5" s="6" t="s">
        <v>3</v>
      </c>
      <c r="C5">
        <v>1462</v>
      </c>
    </row>
    <row r="6" spans="2:3">
      <c r="B6" s="6" t="s">
        <v>0</v>
      </c>
      <c r="C6">
        <v>1380</v>
      </c>
    </row>
    <row r="7" spans="2:3">
      <c r="B7" s="6" t="s">
        <v>2</v>
      </c>
      <c r="C7">
        <v>1309</v>
      </c>
    </row>
    <row r="8" spans="2:3">
      <c r="B8" s="6" t="s">
        <v>4</v>
      </c>
      <c r="C8">
        <v>1252</v>
      </c>
    </row>
    <row r="9" spans="2:3">
      <c r="B9" s="6" t="s">
        <v>5</v>
      </c>
      <c r="C9">
        <v>1091</v>
      </c>
    </row>
    <row r="10" spans="2:3">
      <c r="B10" s="6" t="s">
        <v>48</v>
      </c>
      <c r="C10">
        <v>7936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C77A-98A0-4960-A004-89D00019D705}">
  <dimension ref="A3:B11"/>
  <sheetViews>
    <sheetView workbookViewId="0">
      <selection activeCell="H32" sqref="H32"/>
    </sheetView>
  </sheetViews>
  <sheetFormatPr defaultRowHeight="15"/>
  <cols>
    <col min="1" max="1" width="13.42578125" bestFit="1" customWidth="1"/>
    <col min="2" max="2" width="22.42578125" bestFit="1" customWidth="1"/>
  </cols>
  <sheetData>
    <row r="3" spans="1:2">
      <c r="A3" s="25" t="s">
        <v>47</v>
      </c>
      <c r="B3" t="s">
        <v>50</v>
      </c>
    </row>
    <row r="4" spans="1:2">
      <c r="A4" s="6" t="s">
        <v>35</v>
      </c>
      <c r="B4">
        <v>821.94999999999982</v>
      </c>
    </row>
    <row r="5" spans="1:2">
      <c r="A5" s="6" t="s">
        <v>36</v>
      </c>
      <c r="B5">
        <v>840.85</v>
      </c>
    </row>
    <row r="6" spans="1:2">
      <c r="A6" s="6" t="s">
        <v>37</v>
      </c>
      <c r="B6">
        <v>903.05000000000018</v>
      </c>
    </row>
    <row r="7" spans="1:2">
      <c r="A7" s="6" t="s">
        <v>38</v>
      </c>
      <c r="B7">
        <v>840.02999999999986</v>
      </c>
    </row>
    <row r="8" spans="1:2">
      <c r="A8" s="6" t="s">
        <v>39</v>
      </c>
      <c r="B8">
        <v>829.00500000000011</v>
      </c>
    </row>
    <row r="9" spans="1:2">
      <c r="A9" s="6" t="s">
        <v>40</v>
      </c>
      <c r="B9">
        <v>809.71999999999991</v>
      </c>
    </row>
    <row r="10" spans="1:2">
      <c r="A10" s="6" t="s">
        <v>41</v>
      </c>
      <c r="B10">
        <v>404.58</v>
      </c>
    </row>
    <row r="11" spans="1:2">
      <c r="A11" s="6" t="s">
        <v>48</v>
      </c>
      <c r="B11">
        <v>5449.1850000000004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6325-B421-4428-9EAA-3322EE02728C}">
  <dimension ref="A3:B10"/>
  <sheetViews>
    <sheetView topLeftCell="A5" workbookViewId="0">
      <selection activeCell="G35" sqref="G35"/>
    </sheetView>
  </sheetViews>
  <sheetFormatPr defaultRowHeight="15"/>
  <cols>
    <col min="1" max="1" width="16.28515625" bestFit="1" customWidth="1"/>
    <col min="2" max="2" width="23" bestFit="1" customWidth="1"/>
  </cols>
  <sheetData>
    <row r="3" spans="1:2">
      <c r="A3" s="25" t="s">
        <v>47</v>
      </c>
      <c r="B3" t="s">
        <v>51</v>
      </c>
    </row>
    <row r="4" spans="1:2">
      <c r="A4" s="6" t="s">
        <v>1</v>
      </c>
      <c r="B4" s="3">
        <v>6.5408427991761329</v>
      </c>
    </row>
    <row r="5" spans="1:2">
      <c r="A5" s="6" t="s">
        <v>3</v>
      </c>
      <c r="B5" s="3">
        <v>7.1677922768283473</v>
      </c>
    </row>
    <row r="6" spans="1:2">
      <c r="A6" s="6" t="s">
        <v>0</v>
      </c>
      <c r="B6" s="3">
        <v>5.7944433771225485</v>
      </c>
    </row>
    <row r="7" spans="1:2">
      <c r="A7" s="6" t="s">
        <v>2</v>
      </c>
      <c r="B7" s="3">
        <v>8.1092385593084373</v>
      </c>
    </row>
    <row r="8" spans="1:2">
      <c r="A8" s="6" t="s">
        <v>4</v>
      </c>
      <c r="B8" s="3">
        <v>5.299468486051472</v>
      </c>
    </row>
    <row r="9" spans="1:2">
      <c r="A9" s="6" t="s">
        <v>5</v>
      </c>
      <c r="B9" s="3">
        <v>5.8951677316031263</v>
      </c>
    </row>
    <row r="10" spans="1:2">
      <c r="A10" s="6" t="s">
        <v>48</v>
      </c>
      <c r="B10" s="3">
        <v>6.4971458082976108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153A-A6A8-4FB1-BB19-B9825B5B5DCC}">
  <dimension ref="A3:B7"/>
  <sheetViews>
    <sheetView workbookViewId="0">
      <selection activeCell="B5" sqref="B5"/>
    </sheetView>
  </sheetViews>
  <sheetFormatPr defaultRowHeight="15"/>
  <cols>
    <col min="1" max="1" width="13.42578125" bestFit="1" customWidth="1"/>
    <col min="2" max="2" width="15.85546875" bestFit="1" customWidth="1"/>
  </cols>
  <sheetData>
    <row r="3" spans="1:2">
      <c r="A3" s="25" t="s">
        <v>47</v>
      </c>
      <c r="B3" t="s">
        <v>49</v>
      </c>
    </row>
    <row r="4" spans="1:2">
      <c r="A4" s="6" t="s">
        <v>17</v>
      </c>
      <c r="B4">
        <v>2086</v>
      </c>
    </row>
    <row r="5" spans="1:2">
      <c r="A5" s="6" t="s">
        <v>15</v>
      </c>
      <c r="B5">
        <v>3014</v>
      </c>
    </row>
    <row r="6" spans="1:2">
      <c r="A6" s="6" t="s">
        <v>16</v>
      </c>
      <c r="B6">
        <v>2836</v>
      </c>
    </row>
    <row r="7" spans="1:2">
      <c r="A7" s="6" t="s">
        <v>48</v>
      </c>
      <c r="B7">
        <v>7936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16C33-B949-455F-82E1-C805EB1E3811}">
  <dimension ref="C1:R27"/>
  <sheetViews>
    <sheetView tabSelected="1" workbookViewId="0">
      <selection activeCell="AA6" sqref="AA6"/>
    </sheetView>
  </sheetViews>
  <sheetFormatPr defaultRowHeight="15"/>
  <cols>
    <col min="3" max="3" width="26.140625" customWidth="1"/>
  </cols>
  <sheetData>
    <row r="1" spans="3:18" ht="24">
      <c r="C1" s="29" t="s">
        <v>52</v>
      </c>
      <c r="D1" s="29"/>
      <c r="E1" s="29"/>
      <c r="F1" s="29"/>
      <c r="G1" s="29"/>
      <c r="H1" s="29"/>
      <c r="I1" s="29"/>
    </row>
    <row r="3" spans="3:18" ht="18.75">
      <c r="C3" s="7" t="s">
        <v>53</v>
      </c>
      <c r="D3" s="7">
        <f ca="1">SUM(MileageTable[Distance])</f>
        <v>8699</v>
      </c>
      <c r="E3" s="26"/>
    </row>
    <row r="4" spans="3:18" ht="18.75">
      <c r="C4" s="7" t="s">
        <v>54</v>
      </c>
      <c r="D4" s="7">
        <f ca="1">SUM(MileageTable[Fuel_Cost_Total])</f>
        <v>5219.0749999999998</v>
      </c>
      <c r="E4" s="26"/>
    </row>
    <row r="5" spans="3:18" ht="18.75">
      <c r="C5" s="7" t="s">
        <v>55</v>
      </c>
      <c r="D5" s="27">
        <f ca="1">AVERAGE(MileageTable[Km_per_Liter])</f>
        <v>7.2028190758938946</v>
      </c>
      <c r="E5" s="26"/>
    </row>
    <row r="9" spans="3:18">
      <c r="E9" s="28" t="s">
        <v>56</v>
      </c>
      <c r="F9" s="28"/>
      <c r="G9" s="28"/>
      <c r="H9" s="28"/>
      <c r="I9" s="28"/>
      <c r="N9" s="28" t="s">
        <v>58</v>
      </c>
      <c r="O9" s="28"/>
      <c r="P9" s="28"/>
      <c r="Q9" s="28"/>
      <c r="R9" s="28"/>
    </row>
    <row r="27" spans="5:18">
      <c r="E27" s="28" t="s">
        <v>57</v>
      </c>
      <c r="F27" s="28"/>
      <c r="G27" s="28"/>
      <c r="H27" s="28"/>
      <c r="I27" s="28"/>
      <c r="N27" s="28" t="s">
        <v>59</v>
      </c>
      <c r="O27" s="28"/>
      <c r="P27" s="28"/>
      <c r="Q27" s="28"/>
      <c r="R27" s="28"/>
    </row>
  </sheetData>
  <mergeCells count="5">
    <mergeCell ref="E27:I27"/>
    <mergeCell ref="N9:R9"/>
    <mergeCell ref="N27:R27"/>
    <mergeCell ref="C1:I1"/>
    <mergeCell ref="E9:I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EA70-3D45-4C6A-BE95-06E21935C56A}">
  <dimension ref="A1:D6"/>
  <sheetViews>
    <sheetView workbookViewId="0">
      <selection activeCell="C12" sqref="C12"/>
    </sheetView>
  </sheetViews>
  <sheetFormatPr defaultRowHeight="15"/>
  <cols>
    <col min="1" max="1" width="20.5703125" customWidth="1"/>
    <col min="2" max="2" width="19.140625" customWidth="1"/>
    <col min="3" max="3" width="13" customWidth="1"/>
    <col min="4" max="4" width="14.7109375" customWidth="1"/>
  </cols>
  <sheetData>
    <row r="1" spans="1:4">
      <c r="A1" t="s">
        <v>0</v>
      </c>
      <c r="B1" t="s">
        <v>8</v>
      </c>
      <c r="C1" t="s">
        <v>15</v>
      </c>
      <c r="D1" t="s">
        <v>19</v>
      </c>
    </row>
    <row r="2" spans="1:4">
      <c r="A2" t="s">
        <v>1</v>
      </c>
      <c r="B2" t="s">
        <v>9</v>
      </c>
      <c r="C2" t="s">
        <v>16</v>
      </c>
      <c r="D2" t="s">
        <v>20</v>
      </c>
    </row>
    <row r="3" spans="1:4">
      <c r="A3" t="s">
        <v>2</v>
      </c>
      <c r="B3" t="s">
        <v>10</v>
      </c>
      <c r="C3" t="s">
        <v>17</v>
      </c>
      <c r="D3" t="s">
        <v>21</v>
      </c>
    </row>
    <row r="4" spans="1:4">
      <c r="A4" t="s">
        <v>3</v>
      </c>
      <c r="B4" t="s">
        <v>11</v>
      </c>
      <c r="D4" t="s">
        <v>22</v>
      </c>
    </row>
    <row r="5" spans="1:4">
      <c r="A5" t="s">
        <v>4</v>
      </c>
      <c r="B5" s="1" t="s">
        <v>12</v>
      </c>
    </row>
    <row r="6" spans="1:4">
      <c r="A6" t="s">
        <v>5</v>
      </c>
      <c r="B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Quick_Analysis</vt:lpstr>
      <vt:lpstr>Monthly_Summary</vt:lpstr>
      <vt:lpstr>Equipment_Summary</vt:lpstr>
      <vt:lpstr>Pivot_Distance_Equip</vt:lpstr>
      <vt:lpstr>Pivot_Fuel_Month.</vt:lpstr>
      <vt:lpstr>Pivot_Efficiency_Equip</vt:lpstr>
      <vt:lpstr>Pivot_Distance_Dept</vt:lpstr>
      <vt:lpstr>DashBoard</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Lokeswari Bogolu</dc:creator>
  <cp:lastModifiedBy>Lokeswari Bogolu</cp:lastModifiedBy>
  <dcterms:created xsi:type="dcterms:W3CDTF">2026-01-20T17:54:29Z</dcterms:created>
  <dcterms:modified xsi:type="dcterms:W3CDTF">2026-01-20T21:44:28Z</dcterms:modified>
</cp:coreProperties>
</file>